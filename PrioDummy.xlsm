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do\source\repos\Dashboard\"/>
    </mc:Choice>
  </mc:AlternateContent>
  <xr:revisionPtr revIDLastSave="0" documentId="13_ncr:1_{98C4B373-6D8C-467E-A64B-65F0BD0A9887}" xr6:coauthVersionLast="47" xr6:coauthVersionMax="47" xr10:uidLastSave="{00000000-0000-0000-0000-000000000000}"/>
  <bookViews>
    <workbookView xWindow="-120" yWindow="-120" windowWidth="29040" windowHeight="15840" xr2:uid="{1555F3ED-9695-4BC1-BC5A-44E82AD7BA44}"/>
  </bookViews>
  <sheets>
    <sheet name="Aufträge" sheetId="7" r:id="rId1"/>
  </sheets>
  <definedNames>
    <definedName name="_xlnm._FilterDatabase" localSheetId="0" hidden="1">Aufträge!$A$3:$K$62</definedName>
    <definedName name="_xlnm.Print_Area" localSheetId="0">Aufträge!$A$1:$T$71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7" l="1"/>
  <c r="K43" i="7"/>
  <c r="J43" i="7" s="1"/>
  <c r="L39" i="7"/>
  <c r="O39" i="7"/>
  <c r="O48" i="7"/>
  <c r="O43" i="7"/>
  <c r="K19" i="7"/>
  <c r="J19" i="7" s="1"/>
  <c r="K51" i="7"/>
  <c r="J51" i="7" s="1"/>
  <c r="K50" i="7"/>
  <c r="J50" i="7" s="1"/>
  <c r="K36" i="7"/>
  <c r="J36" i="7" s="1"/>
  <c r="O55" i="7"/>
  <c r="K29" i="7"/>
  <c r="J29" i="7" s="1"/>
  <c r="O47" i="7"/>
  <c r="J30" i="7"/>
  <c r="O46" i="7"/>
  <c r="K18" i="7"/>
  <c r="J18" i="7" s="1"/>
  <c r="O45" i="7"/>
  <c r="K12" i="7"/>
  <c r="O44" i="7"/>
  <c r="K24" i="7"/>
  <c r="J24" i="7" s="1"/>
  <c r="K40" i="7"/>
  <c r="J40" i="7" s="1"/>
  <c r="K4" i="7"/>
  <c r="J4" i="7" s="1"/>
  <c r="K5" i="7"/>
  <c r="J5" i="7" s="1"/>
  <c r="K33" i="7"/>
  <c r="J33" i="7" s="1"/>
  <c r="K38" i="7"/>
  <c r="J38" i="7" s="1"/>
  <c r="K9" i="7"/>
  <c r="J9" i="7" s="1"/>
  <c r="K6" i="7"/>
  <c r="J6" i="7" s="1"/>
  <c r="K17" i="7"/>
  <c r="J17" i="7" s="1"/>
  <c r="K49" i="7"/>
  <c r="J49" i="7" s="1"/>
  <c r="K14" i="7"/>
  <c r="J14" i="7" s="1"/>
  <c r="K39" i="7"/>
  <c r="J39" i="7" s="1"/>
  <c r="K41" i="7"/>
  <c r="J41" i="7" s="1"/>
  <c r="K28" i="7"/>
  <c r="J28" i="7" s="1"/>
  <c r="K25" i="7"/>
  <c r="J25" i="7" s="1"/>
  <c r="K37" i="7"/>
  <c r="J37" i="7" s="1"/>
  <c r="K42" i="7"/>
  <c r="J42" i="7" s="1"/>
  <c r="K34" i="7"/>
  <c r="J34" i="7" s="1"/>
  <c r="K15" i="7"/>
  <c r="J15" i="7" s="1"/>
  <c r="K20" i="7"/>
  <c r="J20" i="7" s="1"/>
  <c r="K21" i="7"/>
  <c r="J21" i="7" s="1"/>
  <c r="K7" i="7"/>
  <c r="J7" i="7" s="1"/>
  <c r="K23" i="7"/>
  <c r="J23" i="7" s="1"/>
  <c r="K8" i="7"/>
  <c r="J8" i="7" s="1"/>
  <c r="K47" i="7"/>
  <c r="J47" i="7" s="1"/>
  <c r="K35" i="7"/>
  <c r="J35" i="7" s="1"/>
  <c r="K13" i="7"/>
  <c r="J13" i="7" s="1"/>
  <c r="K11" i="7"/>
  <c r="J11" i="7" s="1"/>
  <c r="K10" i="7"/>
  <c r="J10" i="7" s="1"/>
  <c r="K16" i="7"/>
  <c r="J16" i="7" s="1"/>
  <c r="K48" i="7"/>
  <c r="J48" i="7" s="1"/>
  <c r="K44" i="7"/>
  <c r="J44" i="7" s="1"/>
  <c r="K45" i="7"/>
  <c r="J45" i="7" s="1"/>
  <c r="K46" i="7"/>
  <c r="J46" i="7" s="1"/>
  <c r="K26" i="7"/>
  <c r="J26" i="7" s="1"/>
  <c r="K22" i="7"/>
  <c r="J22" i="7" s="1"/>
  <c r="K31" i="7"/>
  <c r="J31" i="7" s="1"/>
  <c r="K27" i="7"/>
  <c r="J27" i="7" s="1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40" i="7"/>
  <c r="O41" i="7"/>
  <c r="O42" i="7"/>
  <c r="O56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40" i="7"/>
  <c r="L41" i="7"/>
  <c r="L42" i="7"/>
  <c r="K32" i="7" l="1"/>
  <c r="J32" i="7" s="1"/>
  <c r="J60" i="7" s="1"/>
  <c r="T1" i="7"/>
  <c r="S1" i="7" l="1"/>
  <c r="M1" i="7"/>
  <c r="N1" i="7" s="1"/>
  <c r="G60" i="7" l="1"/>
  <c r="H60" i="7"/>
  <c r="I60" i="7"/>
  <c r="R4" i="7" l="1"/>
  <c r="S4" i="7" l="1"/>
  <c r="T4" i="7" s="1"/>
  <c r="U4" i="7"/>
  <c r="R5" i="7"/>
  <c r="O4" i="7"/>
  <c r="S5" i="7" l="1"/>
  <c r="T5" i="7" s="1"/>
  <c r="U5" i="7"/>
  <c r="R6" i="7"/>
  <c r="R7" i="7" s="1"/>
  <c r="K60" i="7"/>
  <c r="S7" i="7" l="1"/>
  <c r="T7" i="7" s="1"/>
  <c r="U7" i="7"/>
  <c r="R8" i="7"/>
  <c r="L5" i="7"/>
  <c r="M5" i="7" s="1"/>
  <c r="U6" i="7"/>
  <c r="S6" i="7"/>
  <c r="T6" i="7" s="1"/>
  <c r="M6" i="7" l="1"/>
  <c r="M7" i="7" s="1"/>
  <c r="R9" i="7"/>
  <c r="S8" i="7"/>
  <c r="T8" i="7" s="1"/>
  <c r="U8" i="7"/>
  <c r="M8" i="7" l="1"/>
  <c r="M9" i="7" s="1"/>
  <c r="S9" i="7"/>
  <c r="T9" i="7" s="1"/>
  <c r="R10" i="7"/>
  <c r="U9" i="7"/>
  <c r="M10" i="7" l="1"/>
  <c r="M11" i="7" s="1"/>
  <c r="S10" i="7"/>
  <c r="T10" i="7" s="1"/>
  <c r="U10" i="7"/>
  <c r="R11" i="7"/>
  <c r="M12" i="7" l="1"/>
  <c r="S11" i="7"/>
  <c r="T11" i="7" s="1"/>
  <c r="U11" i="7"/>
  <c r="R12" i="7"/>
  <c r="M13" i="7" l="1"/>
  <c r="U12" i="7"/>
  <c r="R13" i="7"/>
  <c r="S12" i="7"/>
  <c r="T12" i="7" s="1"/>
  <c r="M14" i="7" l="1"/>
  <c r="S13" i="7"/>
  <c r="T13" i="7" s="1"/>
  <c r="U13" i="7"/>
  <c r="R14" i="7"/>
  <c r="M15" i="7" l="1"/>
  <c r="R15" i="7"/>
  <c r="S14" i="7"/>
  <c r="T14" i="7" s="1"/>
  <c r="U14" i="7"/>
  <c r="M16" i="7" l="1"/>
  <c r="U15" i="7"/>
  <c r="R16" i="7"/>
  <c r="S15" i="7"/>
  <c r="T15" i="7" s="1"/>
  <c r="M17" i="7" l="1"/>
  <c r="S16" i="7"/>
  <c r="T16" i="7" s="1"/>
  <c r="R17" i="7"/>
  <c r="U16" i="7"/>
  <c r="M18" i="7" l="1"/>
  <c r="U17" i="7"/>
  <c r="R18" i="7"/>
  <c r="S17" i="7"/>
  <c r="T17" i="7" s="1"/>
  <c r="M19" i="7" l="1"/>
  <c r="U18" i="7"/>
  <c r="S18" i="7"/>
  <c r="T18" i="7" s="1"/>
  <c r="R19" i="7"/>
  <c r="M20" i="7" l="1"/>
  <c r="U19" i="7"/>
  <c r="R20" i="7"/>
  <c r="S19" i="7"/>
  <c r="T19" i="7" s="1"/>
  <c r="M21" i="7" l="1"/>
  <c r="S20" i="7"/>
  <c r="T20" i="7" s="1"/>
  <c r="U20" i="7"/>
  <c r="R21" i="7"/>
  <c r="M22" i="7" l="1"/>
  <c r="R22" i="7"/>
  <c r="S21" i="7"/>
  <c r="T21" i="7" s="1"/>
  <c r="U21" i="7"/>
  <c r="M23" i="7" l="1"/>
  <c r="R23" i="7"/>
  <c r="S22" i="7"/>
  <c r="T22" i="7" s="1"/>
  <c r="U22" i="7"/>
  <c r="M24" i="7" l="1"/>
  <c r="R24" i="7"/>
  <c r="U23" i="7"/>
  <c r="S23" i="7"/>
  <c r="T23" i="7" s="1"/>
  <c r="M25" i="7" l="1"/>
  <c r="R25" i="7"/>
  <c r="S24" i="7"/>
  <c r="T24" i="7" s="1"/>
  <c r="U24" i="7"/>
  <c r="M26" i="7" l="1"/>
  <c r="R26" i="7"/>
  <c r="S25" i="7"/>
  <c r="T25" i="7" s="1"/>
  <c r="U25" i="7"/>
  <c r="M27" i="7" l="1"/>
  <c r="S26" i="7"/>
  <c r="T26" i="7" s="1"/>
  <c r="R27" i="7"/>
  <c r="U26" i="7"/>
  <c r="M28" i="7" l="1"/>
  <c r="U27" i="7"/>
  <c r="S27" i="7"/>
  <c r="T27" i="7" s="1"/>
  <c r="R28" i="7"/>
  <c r="M29" i="7" l="1"/>
  <c r="S28" i="7"/>
  <c r="T28" i="7" s="1"/>
  <c r="U28" i="7"/>
  <c r="R29" i="7"/>
  <c r="M30" i="7" s="1"/>
  <c r="U29" i="7" l="1"/>
  <c r="S29" i="7"/>
  <c r="T29" i="7" s="1"/>
  <c r="R30" i="7"/>
  <c r="M31" i="7" s="1"/>
  <c r="S30" i="7" l="1"/>
  <c r="T30" i="7" s="1"/>
  <c r="U30" i="7"/>
  <c r="R31" i="7"/>
  <c r="M32" i="7" s="1"/>
  <c r="U31" i="7" l="1"/>
  <c r="R32" i="7"/>
  <c r="S31" i="7"/>
  <c r="T31" i="7" s="1"/>
  <c r="M33" i="7" l="1"/>
  <c r="S32" i="7"/>
  <c r="T32" i="7" s="1"/>
  <c r="R33" i="7"/>
  <c r="U32" i="7"/>
  <c r="M34" i="7" l="1"/>
  <c r="U33" i="7"/>
  <c r="S33" i="7"/>
  <c r="T33" i="7" s="1"/>
  <c r="R34" i="7"/>
  <c r="M35" i="7" l="1"/>
  <c r="U34" i="7"/>
  <c r="R35" i="7"/>
  <c r="S34" i="7"/>
  <c r="T34" i="7" s="1"/>
  <c r="M36" i="7" l="1"/>
  <c r="U35" i="7"/>
  <c r="R36" i="7"/>
  <c r="S35" i="7"/>
  <c r="T35" i="7" s="1"/>
  <c r="M37" i="7" l="1"/>
  <c r="S36" i="7"/>
  <c r="T36" i="7" s="1"/>
  <c r="R37" i="7"/>
  <c r="U36" i="7"/>
  <c r="M38" i="7" l="1"/>
  <c r="S37" i="7"/>
  <c r="T37" i="7" s="1"/>
  <c r="U37" i="7"/>
  <c r="R38" i="7"/>
  <c r="R39" i="7" s="1"/>
  <c r="U39" i="7" l="1"/>
  <c r="S39" i="7"/>
  <c r="T39" i="7" s="1"/>
  <c r="U38" i="7"/>
  <c r="S38" i="7"/>
  <c r="T38" i="7" s="1"/>
  <c r="M40" i="7" l="1"/>
  <c r="R40" i="7"/>
  <c r="M41" i="7" l="1"/>
  <c r="R41" i="7"/>
  <c r="S40" i="7"/>
  <c r="T40" i="7" s="1"/>
  <c r="U40" i="7"/>
  <c r="M42" i="7" l="1"/>
  <c r="U41" i="7"/>
  <c r="R42" i="7"/>
  <c r="S41" i="7"/>
  <c r="T41" i="7" s="1"/>
  <c r="S42" i="7" l="1"/>
  <c r="T42" i="7" s="1"/>
  <c r="U42" i="7"/>
  <c r="R56" i="7" l="1"/>
  <c r="S56" i="7" l="1"/>
  <c r="T56" i="7" s="1"/>
  <c r="U56" i="7"/>
</calcChain>
</file>

<file path=xl/sharedStrings.xml><?xml version="1.0" encoding="utf-8"?>
<sst xmlns="http://schemas.openxmlformats.org/spreadsheetml/2006/main" count="97" uniqueCount="91">
  <si>
    <t>Prio-Liste Fertigung Nittendorf</t>
  </si>
  <si>
    <t>wöchentl. Kapazität</t>
  </si>
  <si>
    <t xml:space="preserve">12.500 Minuten </t>
  </si>
  <si>
    <t>Projekt</t>
  </si>
  <si>
    <t>Bestellnr.</t>
  </si>
  <si>
    <t>LT Bestellung</t>
  </si>
  <si>
    <t>KW</t>
  </si>
  <si>
    <t>erledigt in %</t>
  </si>
  <si>
    <t>Pos.</t>
  </si>
  <si>
    <t>Stück</t>
  </si>
  <si>
    <t>Zeiten gesamt</t>
  </si>
  <si>
    <t>Zeiten offen</t>
  </si>
  <si>
    <t>Zeiten abgearbeitet</t>
  </si>
  <si>
    <t>KW Plan</t>
  </si>
  <si>
    <t>Zeitangabe fehlt</t>
  </si>
  <si>
    <t>Liefertermin vorgezogen</t>
  </si>
  <si>
    <t>Liefertermin verspätet</t>
  </si>
  <si>
    <t>2021-13071</t>
  </si>
  <si>
    <t>2021-13121</t>
  </si>
  <si>
    <t>2021-13294</t>
  </si>
  <si>
    <t>2021-13556</t>
  </si>
  <si>
    <t>2021-13553</t>
  </si>
  <si>
    <t>2021-13560</t>
  </si>
  <si>
    <t>2021-13596</t>
  </si>
  <si>
    <t>2021-13597</t>
  </si>
  <si>
    <t>2021-13672</t>
  </si>
  <si>
    <t>2021-13717</t>
  </si>
  <si>
    <t>2021-13723</t>
  </si>
  <si>
    <t>2021-13746</t>
  </si>
  <si>
    <t>2021-13771</t>
  </si>
  <si>
    <t>2021-13818</t>
  </si>
  <si>
    <t>2021-13912</t>
  </si>
  <si>
    <t>2021-13922</t>
  </si>
  <si>
    <t>2021-13944</t>
  </si>
  <si>
    <t>2021-14001</t>
  </si>
  <si>
    <t>2021-14044</t>
  </si>
  <si>
    <t>2021-14059</t>
  </si>
  <si>
    <t>2021-14081</t>
  </si>
  <si>
    <t>2021-14083</t>
  </si>
  <si>
    <t>2021-14054</t>
  </si>
  <si>
    <t>2021-14108</t>
  </si>
  <si>
    <t>2021-14053</t>
  </si>
  <si>
    <t>2021-14140</t>
  </si>
  <si>
    <t>2021-14132</t>
  </si>
  <si>
    <t>2021-14177</t>
  </si>
  <si>
    <t>2021-14194</t>
  </si>
  <si>
    <t>2021-14213</t>
  </si>
  <si>
    <t>2021-14210</t>
  </si>
  <si>
    <t>2021-14215</t>
  </si>
  <si>
    <t>2021-14226</t>
  </si>
  <si>
    <t>2021-14227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</si>
  <si>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</si>
  <si>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</si>
  <si>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</si>
  <si>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</si>
  <si>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</si>
  <si>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</si>
  <si>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</si>
  <si>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</si>
  <si>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</si>
  <si>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</si>
  <si>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</si>
  <si>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</si>
  <si>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</si>
  <si>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</si>
  <si>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</si>
  <si>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</si>
  <si>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</si>
  <si>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</si>
  <si>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</si>
  <si>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</si>
  <si>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</si>
  <si>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</si>
  <si>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</si>
  <si>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</si>
  <si>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</si>
  <si>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</si>
  <si>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</si>
  <si>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</si>
  <si>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</si>
  <si>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</si>
  <si>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</si>
  <si>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</si>
  <si>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</si>
  <si>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</si>
  <si>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</si>
  <si>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</si>
  <si>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</si>
  <si>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</si>
  <si>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</si>
  <si>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2021-14300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</si>
</sst>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9" fontId="13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3" fontId="14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3" fontId="8" fillId="0" borderId="0" xfId="0" applyNumberFormat="1" applyFont="1"/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14" fontId="7" fillId="6" borderId="2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4" fontId="2" fillId="3" borderId="0" xfId="0" applyNumberFormat="1" applyFont="1" applyFill="1" applyAlignment="1">
      <alignment horizontal="center"/>
    </xf>
    <xf numFmtId="9" fontId="0" fillId="0" borderId="0" xfId="0" applyNumberFormat="1"/>
    <xf numFmtId="3" fontId="8" fillId="0" borderId="0" xfId="0" applyNumberFormat="1" applyFont="1" applyAlignment="1">
      <alignment horizontal="center"/>
    </xf>
    <xf numFmtId="0" fontId="8" fillId="6" borderId="0" xfId="0" applyFont="1" applyFill="1" applyAlignment="1">
      <alignment horizontal="center" vertical="center"/>
    </xf>
    <xf numFmtId="3" fontId="8" fillId="6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3" fontId="8" fillId="2" borderId="0" xfId="0" applyNumberFormat="1" applyFont="1" applyFill="1" applyAlignment="1">
      <alignment horizontal="center"/>
    </xf>
    <xf numFmtId="3" fontId="8" fillId="3" borderId="0" xfId="0" applyNumberFormat="1" applyFont="1" applyFill="1" applyAlignment="1">
      <alignment horizontal="center"/>
    </xf>
    <xf numFmtId="1" fontId="17" fillId="0" borderId="0" xfId="0" applyNumberFormat="1" applyFont="1"/>
    <xf numFmtId="0" fontId="0" fillId="0" borderId="3" xfId="0" applyBorder="1" applyAlignment="1">
      <alignment horizontal="center"/>
    </xf>
    <xf numFmtId="3" fontId="0" fillId="3" borderId="0" xfId="0" applyNumberFormat="1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2" fontId="15" fillId="0" borderId="0" xfId="0" applyNumberFormat="1" applyFont="1" applyAlignment="1">
      <alignment horizontal="center"/>
    </xf>
    <xf numFmtId="14" fontId="15" fillId="0" borderId="0" xfId="0" applyNumberFormat="1" applyFont="1"/>
    <xf numFmtId="9" fontId="0" fillId="0" borderId="0" xfId="1" applyFont="1" applyAlignment="1">
      <alignment horizontal="center"/>
    </xf>
    <xf numFmtId="1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/>
    </xf>
    <xf numFmtId="0" fontId="12" fillId="0" borderId="3" xfId="0" applyFont="1" applyBorder="1" applyAlignment="1">
      <alignment horizontal="center"/>
    </xf>
    <xf numFmtId="14" fontId="12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0" fillId="0" borderId="0" xfId="0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3" fillId="0" borderId="3" xfId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9" fontId="13" fillId="0" borderId="0" xfId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8">
    <dxf>
      <font>
        <color rgb="FFC00000"/>
      </font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358587</xdr:colOff>
      <xdr:row>0</xdr:row>
      <xdr:rowOff>78441</xdr:rowOff>
    </xdr:from>
    <xdr:to>
      <xdr:col>14</xdr:col>
      <xdr:colOff>2700617</xdr:colOff>
      <xdr:row>0</xdr:row>
      <xdr:rowOff>425823</xdr:rowOff>
    </xdr:to>
    <xdr:sp macro="[0]!RechteckabgerundeteEcken1_Klicken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2D54162D-971F-4A04-958E-81D21F30CC55}"/>
            </a:ext>
          </a:extLst>
        </xdr:cNvPr>
        <xdr:cNvSpPr/>
      </xdr:nvSpPr>
      <xdr:spPr>
        <a:xfrm>
          <a:off x="11588562" y="78441"/>
          <a:ext cx="2342030" cy="347382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4C017-39D7-4115-B27D-70F8C95D15BD}">
  <sheetPr codeName="Tabelle5">
    <pageSetUpPr fitToPage="1"/>
  </sheetPr>
  <dimension ref="A1:U76"/>
  <sheetViews>
    <sheetView tabSelected="1" zoomScale="85" zoomScaleNormal="85" workbookViewId="0">
      <selection activeCell="F13" sqref="F13"/>
    </sheetView>
  </sheetViews>
  <sheetFormatPr baseColWidth="10" defaultRowHeight="15.75" x14ac:dyDescent="0.25"/>
  <cols>
    <col min="1" max="1" width="15.42578125" style="5" customWidth="1"/>
    <col min="2" max="2" width="15" style="5" customWidth="1"/>
    <col min="3" max="3" width="13.85546875" style="13" bestFit="1" customWidth="1"/>
    <col min="6" max="6" width="13.28515625" bestFit="1" customWidth="1"/>
    <col min="7" max="8" width="11.42578125" style="5"/>
    <col min="9" max="9" width="18.5703125" style="5" bestFit="1" customWidth="1"/>
    <col min="10" max="10" width="22.7109375" style="5" customWidth="1"/>
    <col min="11" max="11" width="12" style="5" customWidth="1"/>
    <col min="12" max="12" width="14.28515625" customWidth="1"/>
    <col min="13" max="13" width="10.28515625" style="27" bestFit="1" customWidth="1"/>
    <col min="14" max="14" width="3.140625" bestFit="1" customWidth="1"/>
    <col min="15" max="15" width="42.7109375" style="11" customWidth="1"/>
    <col min="16" max="16" width="9.42578125" style="11" bestFit="1" customWidth="1"/>
    <col min="17" max="17" width="4" bestFit="1" customWidth="1"/>
    <col min="18" max="18" width="9.42578125" bestFit="1" customWidth="1"/>
    <col min="19" max="19" width="7" hidden="1" customWidth="1"/>
    <col min="20" max="20" width="10.28515625" bestFit="1" customWidth="1"/>
    <col min="21" max="21" width="4.7109375" bestFit="1" customWidth="1"/>
    <col min="22" max="22" width="6.28515625" bestFit="1" customWidth="1"/>
    <col min="23" max="23" width="15.5703125" bestFit="1" customWidth="1"/>
    <col min="24" max="24" width="5.85546875" bestFit="1" customWidth="1"/>
    <col min="25" max="25" width="12" bestFit="1" customWidth="1"/>
    <col min="26" max="26" width="5.85546875" bestFit="1" customWidth="1"/>
    <col min="27" max="27" width="12" bestFit="1" customWidth="1"/>
    <col min="28" max="28" width="5.85546875" bestFit="1" customWidth="1"/>
    <col min="29" max="29" width="12" bestFit="1" customWidth="1"/>
    <col min="30" max="30" width="5.85546875" bestFit="1" customWidth="1"/>
    <col min="31" max="31" width="12" bestFit="1" customWidth="1"/>
    <col min="32" max="32" width="5.85546875" bestFit="1" customWidth="1"/>
    <col min="33" max="33" width="12" bestFit="1" customWidth="1"/>
    <col min="34" max="34" width="5.85546875" bestFit="1" customWidth="1"/>
    <col min="35" max="35" width="12" bestFit="1" customWidth="1"/>
    <col min="36" max="36" width="5.85546875" bestFit="1" customWidth="1"/>
    <col min="37" max="37" width="12" bestFit="1" customWidth="1"/>
    <col min="38" max="38" width="5.85546875" bestFit="1" customWidth="1"/>
    <col min="39" max="39" width="12" bestFit="1" customWidth="1"/>
    <col min="40" max="40" width="5.85546875" bestFit="1" customWidth="1"/>
    <col min="41" max="41" width="12" bestFit="1" customWidth="1"/>
    <col min="42" max="42" width="5.85546875" bestFit="1" customWidth="1"/>
    <col min="43" max="43" width="12" bestFit="1" customWidth="1"/>
    <col min="44" max="44" width="6.85546875" bestFit="1" customWidth="1"/>
    <col min="45" max="45" width="13" bestFit="1" customWidth="1"/>
    <col min="46" max="46" width="8.85546875" bestFit="1" customWidth="1"/>
    <col min="47" max="47" width="14.5703125" bestFit="1" customWidth="1"/>
    <col min="48" max="48" width="6.85546875" bestFit="1" customWidth="1"/>
    <col min="49" max="49" width="13" bestFit="1" customWidth="1"/>
    <col min="50" max="50" width="6.85546875" bestFit="1" customWidth="1"/>
    <col min="51" max="51" width="13" bestFit="1" customWidth="1"/>
    <col min="52" max="52" width="6.85546875" bestFit="1" customWidth="1"/>
    <col min="53" max="53" width="13" bestFit="1" customWidth="1"/>
    <col min="54" max="54" width="8.85546875" bestFit="1" customWidth="1"/>
    <col min="55" max="55" width="14.5703125" bestFit="1" customWidth="1"/>
    <col min="56" max="56" width="6.85546875" bestFit="1" customWidth="1"/>
    <col min="57" max="57" width="13" bestFit="1" customWidth="1"/>
    <col min="58" max="58" width="6.85546875" bestFit="1" customWidth="1"/>
    <col min="59" max="59" width="13" bestFit="1" customWidth="1"/>
    <col min="60" max="60" width="6.85546875" bestFit="1" customWidth="1"/>
    <col min="61" max="61" width="13" bestFit="1" customWidth="1"/>
    <col min="62" max="62" width="6.85546875" bestFit="1" customWidth="1"/>
    <col min="63" max="63" width="13" bestFit="1" customWidth="1"/>
    <col min="64" max="64" width="6.85546875" bestFit="1" customWidth="1"/>
    <col min="65" max="65" width="13" bestFit="1" customWidth="1"/>
    <col min="66" max="66" width="6.85546875" bestFit="1" customWidth="1"/>
    <col min="67" max="67" width="13" bestFit="1" customWidth="1"/>
    <col min="68" max="68" width="8.85546875" bestFit="1" customWidth="1"/>
    <col min="69" max="69" width="14.5703125" bestFit="1" customWidth="1"/>
    <col min="70" max="70" width="6.85546875" bestFit="1" customWidth="1"/>
    <col min="71" max="71" width="13" bestFit="1" customWidth="1"/>
    <col min="72" max="72" width="8.140625" bestFit="1" customWidth="1"/>
    <col min="73" max="73" width="14.28515625" bestFit="1" customWidth="1"/>
    <col min="74" max="74" width="15.5703125" bestFit="1" customWidth="1"/>
    <col min="75" max="75" width="13" bestFit="1" customWidth="1"/>
    <col min="76" max="76" width="6.85546875" bestFit="1" customWidth="1"/>
    <col min="77" max="78" width="13" bestFit="1" customWidth="1"/>
    <col min="79" max="79" width="6.85546875" bestFit="1" customWidth="1"/>
    <col min="80" max="80" width="12" bestFit="1" customWidth="1"/>
    <col min="81" max="81" width="13" bestFit="1" customWidth="1"/>
    <col min="82" max="82" width="6.85546875" bestFit="1" customWidth="1"/>
    <col min="83" max="84" width="13" bestFit="1" customWidth="1"/>
    <col min="85" max="85" width="8.85546875" bestFit="1" customWidth="1"/>
    <col min="86" max="86" width="14.5703125" bestFit="1" customWidth="1"/>
    <col min="87" max="87" width="13" bestFit="1" customWidth="1"/>
    <col min="88" max="88" width="6.85546875" bestFit="1" customWidth="1"/>
    <col min="89" max="90" width="13" bestFit="1" customWidth="1"/>
    <col min="91" max="91" width="8.85546875" bestFit="1" customWidth="1"/>
    <col min="92" max="92" width="14.5703125" bestFit="1" customWidth="1"/>
    <col min="93" max="93" width="13" bestFit="1" customWidth="1"/>
    <col min="94" max="94" width="6.85546875" bestFit="1" customWidth="1"/>
    <col min="95" max="96" width="13" bestFit="1" customWidth="1"/>
    <col min="97" max="97" width="8.85546875" bestFit="1" customWidth="1"/>
    <col min="98" max="98" width="14.5703125" bestFit="1" customWidth="1"/>
    <col min="99" max="99" width="14" bestFit="1" customWidth="1"/>
    <col min="100" max="100" width="8.140625" bestFit="1" customWidth="1"/>
    <col min="101" max="101" width="10" bestFit="1" customWidth="1"/>
    <col min="102" max="102" width="8.140625" bestFit="1" customWidth="1"/>
    <col min="103" max="104" width="14.28515625" bestFit="1" customWidth="1"/>
    <col min="105" max="105" width="15.5703125" bestFit="1" customWidth="1"/>
  </cols>
  <sheetData>
    <row r="1" spans="1:21" ht="40.5" customHeight="1" x14ac:dyDescent="0.25">
      <c r="A1" s="65" t="s">
        <v>0</v>
      </c>
      <c r="B1" s="65"/>
      <c r="C1" s="65"/>
      <c r="D1" s="1"/>
      <c r="E1" s="1"/>
      <c r="F1" s="1"/>
      <c r="G1" s="2"/>
      <c r="H1" s="2"/>
      <c r="I1" s="3" t="s">
        <v>1</v>
      </c>
      <c r="J1" s="3" t="s">
        <v>2</v>
      </c>
      <c r="L1" s="5"/>
      <c r="M1" s="49">
        <f ca="1">TODAY()</f>
        <v>44544</v>
      </c>
      <c r="N1" s="50">
        <f ca="1">_xlfn.ISOWEEKNUM(M1)</f>
        <v>50</v>
      </c>
      <c r="R1" s="23">
        <v>12500</v>
      </c>
      <c r="S1" s="23">
        <f>R1/5</f>
        <v>2500</v>
      </c>
      <c r="T1" s="47">
        <f ca="1">TODAY()+U1</f>
        <v>44549</v>
      </c>
      <c r="U1" s="5">
        <v>5</v>
      </c>
    </row>
    <row r="2" spans="1:21" x14ac:dyDescent="0.25">
      <c r="A2" s="30" t="s">
        <v>3</v>
      </c>
      <c r="B2" s="30" t="s">
        <v>4</v>
      </c>
      <c r="C2" s="31" t="s">
        <v>5</v>
      </c>
      <c r="D2" s="32" t="s">
        <v>6</v>
      </c>
      <c r="E2" s="32" t="s">
        <v>13</v>
      </c>
      <c r="F2" s="32" t="s">
        <v>7</v>
      </c>
      <c r="G2" s="30" t="s">
        <v>8</v>
      </c>
      <c r="H2" s="30" t="s">
        <v>9</v>
      </c>
      <c r="I2" s="32" t="s">
        <v>10</v>
      </c>
      <c r="J2" s="32" t="s">
        <v>11</v>
      </c>
      <c r="K2" s="32" t="s">
        <v>12</v>
      </c>
      <c r="L2" s="37"/>
      <c r="M2" s="38"/>
      <c r="O2"/>
      <c r="P2"/>
      <c r="R2" s="4"/>
    </row>
    <row r="3" spans="1:21" x14ac:dyDescent="0.25">
      <c r="A3" s="6"/>
      <c r="B3" s="6"/>
      <c r="C3" s="7"/>
      <c r="D3" s="8"/>
      <c r="E3" s="8"/>
      <c r="F3" s="8"/>
      <c r="G3" s="9"/>
      <c r="H3" s="10"/>
      <c r="I3" s="14"/>
      <c r="J3" s="15"/>
      <c r="K3" s="10"/>
      <c r="L3" s="39"/>
      <c r="M3" s="40"/>
      <c r="O3"/>
      <c r="P3"/>
    </row>
    <row r="4" spans="1:21" x14ac:dyDescent="0.25">
      <c r="A4" s="54" t="s">
        <v>51</v>
      </c>
      <c r="B4" s="16" t="s">
        <v>19</v>
      </c>
      <c r="C4" s="28">
        <v>44438</v>
      </c>
      <c r="D4" s="16">
        <v>35</v>
      </c>
      <c r="E4" s="29">
        <v>35</v>
      </c>
      <c r="F4" s="17">
        <v>0</v>
      </c>
      <c r="G4" s="16">
        <v>2</v>
      </c>
      <c r="H4" s="16">
        <v>2</v>
      </c>
      <c r="I4" s="16">
        <v>120</v>
      </c>
      <c r="J4" s="12">
        <f t="shared" ref="J4:J11" si="0">I4-K4</f>
        <v>120</v>
      </c>
      <c r="K4" s="12">
        <f t="shared" ref="K4:K51" si="1">F4*I4</f>
        <v>0</v>
      </c>
      <c r="L4" s="33"/>
      <c r="M4" s="36"/>
      <c r="O4" s="35">
        <f t="shared" ref="O4:O56" si="2">F4</f>
        <v>0</v>
      </c>
      <c r="P4"/>
      <c r="R4" s="42">
        <f>J4++R3</f>
        <v>120</v>
      </c>
      <c r="S4" s="46">
        <f>R4/S$1</f>
        <v>4.8000000000000001E-2</v>
      </c>
      <c r="T4" s="47">
        <f ca="1">WORKDAY.INTL(T$1,S4,1,)</f>
        <v>44549</v>
      </c>
      <c r="U4" s="51">
        <f>ROUNDDOWN(R4/R$1,0)</f>
        <v>0</v>
      </c>
    </row>
    <row r="5" spans="1:21" x14ac:dyDescent="0.25">
      <c r="A5" s="54" t="s">
        <v>52</v>
      </c>
      <c r="B5" s="16" t="s">
        <v>19</v>
      </c>
      <c r="C5" s="28">
        <v>44438</v>
      </c>
      <c r="D5" s="16">
        <v>35</v>
      </c>
      <c r="E5" s="29">
        <v>35</v>
      </c>
      <c r="F5" s="17">
        <v>0</v>
      </c>
      <c r="G5" s="16">
        <v>2</v>
      </c>
      <c r="H5" s="16">
        <v>2</v>
      </c>
      <c r="I5" s="16">
        <v>120</v>
      </c>
      <c r="J5" s="12">
        <f t="shared" si="0"/>
        <v>120</v>
      </c>
      <c r="K5" s="12">
        <f t="shared" si="1"/>
        <v>0</v>
      </c>
      <c r="L5" s="33">
        <f t="shared" ref="L5:L42" si="3">IF(E5=E4,0,1)</f>
        <v>0</v>
      </c>
      <c r="M5" s="36" t="str">
        <f>IF(L5=1,R4-SUM(M$4:M4),"")</f>
        <v/>
      </c>
      <c r="O5" s="35">
        <f t="shared" si="2"/>
        <v>0</v>
      </c>
      <c r="P5"/>
      <c r="R5" s="42">
        <f t="shared" ref="R5:R6" si="4">J5++R4</f>
        <v>240</v>
      </c>
      <c r="S5" s="46">
        <f t="shared" ref="S5:S6" si="5">R5/S$1</f>
        <v>9.6000000000000002E-2</v>
      </c>
      <c r="T5" s="47">
        <f t="shared" ref="T5:T6" ca="1" si="6">WORKDAY.INTL(T$1,S5,1,)</f>
        <v>44549</v>
      </c>
      <c r="U5" s="51">
        <f t="shared" ref="U5:U6" si="7">ROUNDDOWN(R5/R$1,0)</f>
        <v>0</v>
      </c>
    </row>
    <row r="6" spans="1:21" x14ac:dyDescent="0.25">
      <c r="A6" s="16" t="s">
        <v>53</v>
      </c>
      <c r="B6" s="16" t="s">
        <v>37</v>
      </c>
      <c r="C6" s="28">
        <v>44484</v>
      </c>
      <c r="D6" s="16">
        <v>41</v>
      </c>
      <c r="E6" s="29">
        <v>41</v>
      </c>
      <c r="F6" s="17">
        <v>0.6</v>
      </c>
      <c r="G6" s="16">
        <v>5</v>
      </c>
      <c r="H6" s="16">
        <v>5</v>
      </c>
      <c r="I6" s="16">
        <v>564</v>
      </c>
      <c r="J6" s="12">
        <f t="shared" si="0"/>
        <v>225.60000000000002</v>
      </c>
      <c r="K6" s="12">
        <f t="shared" si="1"/>
        <v>338.4</v>
      </c>
      <c r="L6" s="33">
        <f t="shared" si="3"/>
        <v>1</v>
      </c>
      <c r="M6" s="36">
        <f>IF(L6=1,R5-SUM(M$4:M5),"")</f>
        <v>240</v>
      </c>
      <c r="O6" s="35">
        <f t="shared" si="2"/>
        <v>0.6</v>
      </c>
      <c r="P6"/>
      <c r="R6" s="42">
        <f t="shared" si="4"/>
        <v>465.6</v>
      </c>
      <c r="S6" s="46">
        <f t="shared" si="5"/>
        <v>0.18624000000000002</v>
      </c>
      <c r="T6" s="47">
        <f t="shared" ca="1" si="6"/>
        <v>44549</v>
      </c>
      <c r="U6" s="51">
        <f t="shared" si="7"/>
        <v>0</v>
      </c>
    </row>
    <row r="7" spans="1:21" x14ac:dyDescent="0.25">
      <c r="A7" s="16" t="s">
        <v>54</v>
      </c>
      <c r="B7" s="16" t="s">
        <v>37</v>
      </c>
      <c r="C7" s="28">
        <v>44484</v>
      </c>
      <c r="D7" s="16">
        <v>41</v>
      </c>
      <c r="E7" s="29">
        <v>41</v>
      </c>
      <c r="F7" s="17">
        <v>0.25</v>
      </c>
      <c r="G7" s="16">
        <v>1</v>
      </c>
      <c r="H7" s="16">
        <v>1</v>
      </c>
      <c r="I7" s="16">
        <v>80</v>
      </c>
      <c r="J7" s="12">
        <f t="shared" si="0"/>
        <v>60</v>
      </c>
      <c r="K7" s="12">
        <f t="shared" si="1"/>
        <v>20</v>
      </c>
      <c r="L7" s="33">
        <f t="shared" si="3"/>
        <v>0</v>
      </c>
      <c r="M7" s="36" t="str">
        <f>IF(L7=1,R6-SUM(M$4:M6),"")</f>
        <v/>
      </c>
      <c r="O7" s="35">
        <f t="shared" si="2"/>
        <v>0.25</v>
      </c>
      <c r="P7"/>
      <c r="R7" s="42">
        <f t="shared" ref="R7:R42" si="8">J7++R6</f>
        <v>525.6</v>
      </c>
      <c r="S7" s="46">
        <f t="shared" ref="S7:S56" si="9">R7/S$1</f>
        <v>0.21024000000000001</v>
      </c>
      <c r="T7" s="47">
        <f t="shared" ref="T7:T56" ca="1" si="10">WORKDAY.INTL(T$1,S7,1,)</f>
        <v>44549</v>
      </c>
      <c r="U7" s="51">
        <f t="shared" ref="U7:U56" si="11">ROUNDDOWN(R7/R$1,0)</f>
        <v>0</v>
      </c>
    </row>
    <row r="8" spans="1:21" x14ac:dyDescent="0.25">
      <c r="A8" s="16" t="s">
        <v>55</v>
      </c>
      <c r="B8" s="16" t="s">
        <v>37</v>
      </c>
      <c r="C8" s="28">
        <v>44484</v>
      </c>
      <c r="D8" s="16">
        <v>41</v>
      </c>
      <c r="E8" s="29">
        <v>41</v>
      </c>
      <c r="F8" s="17">
        <v>0.1</v>
      </c>
      <c r="G8" s="16">
        <v>1</v>
      </c>
      <c r="H8" s="16">
        <v>1</v>
      </c>
      <c r="I8" s="16">
        <v>80</v>
      </c>
      <c r="J8" s="12">
        <f t="shared" si="0"/>
        <v>72</v>
      </c>
      <c r="K8" s="12">
        <f t="shared" si="1"/>
        <v>8</v>
      </c>
      <c r="L8" s="33">
        <f t="shared" si="3"/>
        <v>0</v>
      </c>
      <c r="M8" s="36" t="str">
        <f>IF(L8=1,R7-SUM(M$4:M7),"")</f>
        <v/>
      </c>
      <c r="O8" s="35">
        <f t="shared" si="2"/>
        <v>0.1</v>
      </c>
      <c r="P8"/>
      <c r="R8" s="42">
        <f t="shared" si="8"/>
        <v>597.6</v>
      </c>
      <c r="S8" s="46">
        <f t="shared" si="9"/>
        <v>0.23904</v>
      </c>
      <c r="T8" s="47">
        <f t="shared" ca="1" si="10"/>
        <v>44549</v>
      </c>
      <c r="U8" s="51">
        <f t="shared" si="11"/>
        <v>0</v>
      </c>
    </row>
    <row r="9" spans="1:21" x14ac:dyDescent="0.25">
      <c r="A9" s="16" t="s">
        <v>59</v>
      </c>
      <c r="B9" s="16" t="s">
        <v>18</v>
      </c>
      <c r="C9" s="28">
        <v>44505</v>
      </c>
      <c r="D9" s="16">
        <v>41</v>
      </c>
      <c r="E9" s="29">
        <v>41</v>
      </c>
      <c r="F9" s="17">
        <v>0.5</v>
      </c>
      <c r="G9" s="16">
        <v>76</v>
      </c>
      <c r="H9" s="16">
        <v>96</v>
      </c>
      <c r="I9" s="16">
        <v>7387</v>
      </c>
      <c r="J9" s="12">
        <f t="shared" si="0"/>
        <v>3693.5</v>
      </c>
      <c r="K9" s="12">
        <f t="shared" si="1"/>
        <v>3693.5</v>
      </c>
      <c r="L9" s="33">
        <f t="shared" si="3"/>
        <v>0</v>
      </c>
      <c r="M9" s="36" t="str">
        <f>IF(L9=1,R8-SUM(M$4:M8),"")</f>
        <v/>
      </c>
      <c r="O9" s="35">
        <f t="shared" si="2"/>
        <v>0.5</v>
      </c>
      <c r="P9"/>
      <c r="R9" s="42">
        <f t="shared" si="8"/>
        <v>4291.1000000000004</v>
      </c>
      <c r="S9" s="46">
        <f t="shared" si="9"/>
        <v>1.7164400000000002</v>
      </c>
      <c r="T9" s="47">
        <f t="shared" ca="1" si="10"/>
        <v>44550</v>
      </c>
      <c r="U9" s="51">
        <f t="shared" si="11"/>
        <v>0</v>
      </c>
    </row>
    <row r="10" spans="1:21" x14ac:dyDescent="0.25">
      <c r="A10" s="16" t="s">
        <v>56</v>
      </c>
      <c r="B10" s="16" t="s">
        <v>17</v>
      </c>
      <c r="C10" s="28">
        <v>44491</v>
      </c>
      <c r="D10" s="16">
        <v>42</v>
      </c>
      <c r="E10" s="29">
        <v>42</v>
      </c>
      <c r="F10" s="17">
        <v>0.8</v>
      </c>
      <c r="G10" s="16">
        <v>188</v>
      </c>
      <c r="H10" s="16">
        <v>330</v>
      </c>
      <c r="I10" s="16">
        <v>19477</v>
      </c>
      <c r="J10" s="12">
        <f t="shared" si="0"/>
        <v>3895.3999999999996</v>
      </c>
      <c r="K10" s="12">
        <f t="shared" si="1"/>
        <v>15581.6</v>
      </c>
      <c r="L10" s="33">
        <f t="shared" si="3"/>
        <v>1</v>
      </c>
      <c r="M10" s="36">
        <f>IF(L10=1,R9-SUM(M$4:M9),"")</f>
        <v>4051.1000000000004</v>
      </c>
      <c r="O10" s="35">
        <f t="shared" si="2"/>
        <v>0.8</v>
      </c>
      <c r="P10"/>
      <c r="R10" s="42">
        <f t="shared" si="8"/>
        <v>8186.5</v>
      </c>
      <c r="S10" s="46">
        <f t="shared" si="9"/>
        <v>3.2746</v>
      </c>
      <c r="T10" s="47">
        <f t="shared" ca="1" si="10"/>
        <v>44552</v>
      </c>
      <c r="U10" s="51">
        <f t="shared" si="11"/>
        <v>0</v>
      </c>
    </row>
    <row r="11" spans="1:21" x14ac:dyDescent="0.25">
      <c r="A11" s="16" t="s">
        <v>57</v>
      </c>
      <c r="B11" s="16" t="s">
        <v>40</v>
      </c>
      <c r="C11" s="28">
        <v>44491</v>
      </c>
      <c r="D11" s="16">
        <v>42</v>
      </c>
      <c r="E11" s="29">
        <v>42</v>
      </c>
      <c r="F11" s="17">
        <v>0.8</v>
      </c>
      <c r="G11" s="16">
        <v>1</v>
      </c>
      <c r="H11" s="16">
        <v>1</v>
      </c>
      <c r="I11" s="16">
        <v>75</v>
      </c>
      <c r="J11" s="12">
        <f t="shared" si="0"/>
        <v>15</v>
      </c>
      <c r="K11" s="12">
        <f t="shared" si="1"/>
        <v>60</v>
      </c>
      <c r="L11" s="33">
        <f t="shared" si="3"/>
        <v>0</v>
      </c>
      <c r="M11" s="36" t="str">
        <f>IF(L11=1,R10-SUM(M$4:M10),"")</f>
        <v/>
      </c>
      <c r="O11" s="35">
        <f t="shared" si="2"/>
        <v>0.8</v>
      </c>
      <c r="P11"/>
      <c r="R11" s="42">
        <f t="shared" si="8"/>
        <v>8201.5</v>
      </c>
      <c r="S11" s="46">
        <f t="shared" si="9"/>
        <v>3.2806000000000002</v>
      </c>
      <c r="T11" s="47">
        <f t="shared" ca="1" si="10"/>
        <v>44552</v>
      </c>
      <c r="U11" s="51">
        <f t="shared" si="11"/>
        <v>0</v>
      </c>
    </row>
    <row r="12" spans="1:21" x14ac:dyDescent="0.25">
      <c r="A12" s="16" t="s">
        <v>58</v>
      </c>
      <c r="B12" s="16" t="s">
        <v>42</v>
      </c>
      <c r="C12" s="28">
        <v>44491</v>
      </c>
      <c r="D12" s="16">
        <v>42</v>
      </c>
      <c r="E12" s="29">
        <v>42</v>
      </c>
      <c r="F12" s="17">
        <v>0.05</v>
      </c>
      <c r="G12" s="16">
        <v>1</v>
      </c>
      <c r="H12" s="16">
        <v>1</v>
      </c>
      <c r="I12" s="16">
        <v>20</v>
      </c>
      <c r="J12" s="12"/>
      <c r="K12" s="12">
        <f t="shared" si="1"/>
        <v>1</v>
      </c>
      <c r="L12" s="33">
        <f t="shared" si="3"/>
        <v>0</v>
      </c>
      <c r="M12" s="36" t="str">
        <f>IF(L12=1,R11-SUM(M$4:M11),"")</f>
        <v/>
      </c>
      <c r="O12" s="35">
        <f t="shared" si="2"/>
        <v>0.05</v>
      </c>
      <c r="P12"/>
      <c r="R12" s="42">
        <f t="shared" si="8"/>
        <v>8201.5</v>
      </c>
      <c r="S12" s="46">
        <f t="shared" si="9"/>
        <v>3.2806000000000002</v>
      </c>
      <c r="T12" s="47">
        <f t="shared" ca="1" si="10"/>
        <v>44552</v>
      </c>
      <c r="U12" s="51">
        <f t="shared" si="11"/>
        <v>0</v>
      </c>
    </row>
    <row r="13" spans="1:21" x14ac:dyDescent="0.25">
      <c r="A13" s="16" t="s">
        <v>59</v>
      </c>
      <c r="B13" s="16" t="s">
        <v>25</v>
      </c>
      <c r="C13" s="28">
        <v>44498</v>
      </c>
      <c r="D13" s="16">
        <v>43</v>
      </c>
      <c r="E13" s="29">
        <v>43</v>
      </c>
      <c r="F13" s="17">
        <v>0</v>
      </c>
      <c r="G13" s="16">
        <v>1</v>
      </c>
      <c r="H13" s="16">
        <v>11</v>
      </c>
      <c r="I13" s="16">
        <v>220</v>
      </c>
      <c r="J13" s="12">
        <f t="shared" ref="J13:J43" si="12">I13-K13</f>
        <v>220</v>
      </c>
      <c r="K13" s="12">
        <f t="shared" si="1"/>
        <v>0</v>
      </c>
      <c r="L13" s="33">
        <f t="shared" si="3"/>
        <v>1</v>
      </c>
      <c r="M13" s="36">
        <f>IF(L13=1,R12-SUM(M$4:M12),"")</f>
        <v>3910.3999999999996</v>
      </c>
      <c r="O13" s="35">
        <f t="shared" si="2"/>
        <v>0</v>
      </c>
      <c r="P13"/>
      <c r="R13" s="42">
        <f t="shared" si="8"/>
        <v>8421.5</v>
      </c>
      <c r="S13" s="46">
        <f t="shared" si="9"/>
        <v>3.3685999999999998</v>
      </c>
      <c r="T13" s="47">
        <f t="shared" ca="1" si="10"/>
        <v>44552</v>
      </c>
      <c r="U13" s="51">
        <f t="shared" si="11"/>
        <v>0</v>
      </c>
    </row>
    <row r="14" spans="1:21" x14ac:dyDescent="0.25">
      <c r="A14" s="16" t="s">
        <v>60</v>
      </c>
      <c r="B14" s="16" t="s">
        <v>28</v>
      </c>
      <c r="C14" s="28">
        <v>44498</v>
      </c>
      <c r="D14" s="16">
        <v>43</v>
      </c>
      <c r="E14" s="29">
        <v>43</v>
      </c>
      <c r="F14" s="17">
        <v>0</v>
      </c>
      <c r="G14" s="16">
        <v>1</v>
      </c>
      <c r="H14" s="16">
        <v>1</v>
      </c>
      <c r="I14" s="16">
        <v>200</v>
      </c>
      <c r="J14" s="12">
        <f t="shared" si="12"/>
        <v>200</v>
      </c>
      <c r="K14" s="12">
        <f t="shared" si="1"/>
        <v>0</v>
      </c>
      <c r="L14" s="33">
        <f t="shared" si="3"/>
        <v>0</v>
      </c>
      <c r="M14" s="36" t="str">
        <f>IF(L14=1,R13-SUM(M$4:M13),"")</f>
        <v/>
      </c>
      <c r="O14" s="35">
        <f t="shared" si="2"/>
        <v>0</v>
      </c>
      <c r="P14"/>
      <c r="R14" s="42">
        <f t="shared" si="8"/>
        <v>8621.5</v>
      </c>
      <c r="S14" s="46">
        <f t="shared" si="9"/>
        <v>3.4485999999999999</v>
      </c>
      <c r="T14" s="47">
        <f t="shared" ca="1" si="10"/>
        <v>44552</v>
      </c>
      <c r="U14" s="51">
        <f t="shared" si="11"/>
        <v>0</v>
      </c>
    </row>
    <row r="15" spans="1:21" x14ac:dyDescent="0.25">
      <c r="A15" s="16" t="s">
        <v>61</v>
      </c>
      <c r="B15" s="16" t="s">
        <v>44</v>
      </c>
      <c r="C15" s="28">
        <v>44498</v>
      </c>
      <c r="D15" s="16">
        <v>43</v>
      </c>
      <c r="E15" s="29">
        <v>43</v>
      </c>
      <c r="F15" s="17">
        <v>0</v>
      </c>
      <c r="G15" s="16">
        <v>1</v>
      </c>
      <c r="H15" s="16">
        <v>4</v>
      </c>
      <c r="I15" s="16">
        <v>230</v>
      </c>
      <c r="J15" s="12">
        <f t="shared" si="12"/>
        <v>230</v>
      </c>
      <c r="K15" s="12">
        <f t="shared" si="1"/>
        <v>0</v>
      </c>
      <c r="L15" s="33">
        <f t="shared" si="3"/>
        <v>0</v>
      </c>
      <c r="M15" s="36" t="str">
        <f>IF(L15=1,R14-SUM(M$4:M14),"")</f>
        <v/>
      </c>
      <c r="O15" s="35">
        <f t="shared" si="2"/>
        <v>0</v>
      </c>
      <c r="P15"/>
      <c r="R15" s="42">
        <f t="shared" si="8"/>
        <v>8851.5</v>
      </c>
      <c r="S15" s="46">
        <f t="shared" si="9"/>
        <v>3.5406</v>
      </c>
      <c r="T15" s="47">
        <f t="shared" ca="1" si="10"/>
        <v>44552</v>
      </c>
      <c r="U15" s="51">
        <f t="shared" si="11"/>
        <v>0</v>
      </c>
    </row>
    <row r="16" spans="1:21" x14ac:dyDescent="0.25">
      <c r="A16" s="16" t="s">
        <v>62</v>
      </c>
      <c r="B16" s="16" t="s">
        <v>20</v>
      </c>
      <c r="C16" s="28">
        <v>44505</v>
      </c>
      <c r="D16" s="16">
        <v>44</v>
      </c>
      <c r="E16" s="29">
        <v>44</v>
      </c>
      <c r="F16" s="17">
        <v>0</v>
      </c>
      <c r="G16" s="16">
        <v>4</v>
      </c>
      <c r="H16" s="16">
        <v>28</v>
      </c>
      <c r="I16" s="16">
        <v>900</v>
      </c>
      <c r="J16" s="12">
        <f t="shared" si="12"/>
        <v>900</v>
      </c>
      <c r="K16" s="12">
        <f t="shared" si="1"/>
        <v>0</v>
      </c>
      <c r="L16" s="33">
        <f t="shared" si="3"/>
        <v>1</v>
      </c>
      <c r="M16" s="36">
        <f>IF(L16=1,R15-SUM(M$4:M15),"")</f>
        <v>650</v>
      </c>
      <c r="O16" s="35">
        <f t="shared" si="2"/>
        <v>0</v>
      </c>
      <c r="P16"/>
      <c r="R16" s="42">
        <f t="shared" si="8"/>
        <v>9751.5</v>
      </c>
      <c r="S16" s="46">
        <f t="shared" si="9"/>
        <v>3.9005999999999998</v>
      </c>
      <c r="T16" s="47">
        <f t="shared" ca="1" si="10"/>
        <v>44552</v>
      </c>
      <c r="U16" s="51">
        <f t="shared" si="11"/>
        <v>0</v>
      </c>
    </row>
    <row r="17" spans="1:21" x14ac:dyDescent="0.25">
      <c r="A17" s="16" t="s">
        <v>63</v>
      </c>
      <c r="B17" s="16" t="s">
        <v>21</v>
      </c>
      <c r="C17" s="28">
        <v>44505</v>
      </c>
      <c r="D17" s="16">
        <v>44</v>
      </c>
      <c r="E17" s="29">
        <v>44</v>
      </c>
      <c r="F17" s="17">
        <v>0</v>
      </c>
      <c r="G17" s="16">
        <v>15</v>
      </c>
      <c r="H17" s="16">
        <v>52</v>
      </c>
      <c r="I17" s="16">
        <v>1965</v>
      </c>
      <c r="J17" s="12">
        <f t="shared" si="12"/>
        <v>1965</v>
      </c>
      <c r="K17" s="12">
        <f t="shared" si="1"/>
        <v>0</v>
      </c>
      <c r="L17" s="33">
        <f t="shared" si="3"/>
        <v>0</v>
      </c>
      <c r="M17" s="36" t="str">
        <f>IF(L17=1,R16-SUM(M$4:M16),"")</f>
        <v/>
      </c>
      <c r="O17" s="35">
        <f t="shared" si="2"/>
        <v>0</v>
      </c>
      <c r="P17"/>
      <c r="R17" s="42">
        <f t="shared" si="8"/>
        <v>11716.5</v>
      </c>
      <c r="S17" s="46">
        <f t="shared" si="9"/>
        <v>4.6866000000000003</v>
      </c>
      <c r="T17" s="47">
        <f t="shared" ca="1" si="10"/>
        <v>44553</v>
      </c>
      <c r="U17" s="51">
        <f t="shared" si="11"/>
        <v>0</v>
      </c>
    </row>
    <row r="18" spans="1:21" x14ac:dyDescent="0.25">
      <c r="A18" s="16" t="s">
        <v>64</v>
      </c>
      <c r="B18" s="16" t="s">
        <v>22</v>
      </c>
      <c r="C18" s="28">
        <v>44505</v>
      </c>
      <c r="D18" s="16">
        <v>44</v>
      </c>
      <c r="E18" s="29">
        <v>44</v>
      </c>
      <c r="F18" s="17">
        <v>0.2</v>
      </c>
      <c r="G18" s="16">
        <v>2</v>
      </c>
      <c r="H18" s="16">
        <v>2</v>
      </c>
      <c r="I18" s="16">
        <v>120</v>
      </c>
      <c r="J18" s="12">
        <f t="shared" si="12"/>
        <v>96</v>
      </c>
      <c r="K18" s="12">
        <f t="shared" si="1"/>
        <v>24</v>
      </c>
      <c r="L18" s="33">
        <f t="shared" si="3"/>
        <v>0</v>
      </c>
      <c r="M18" s="36" t="str">
        <f>IF(L18=1,R17-SUM(M$4:M17),"")</f>
        <v/>
      </c>
      <c r="O18" s="35">
        <f t="shared" si="2"/>
        <v>0.2</v>
      </c>
      <c r="P18"/>
      <c r="R18" s="42">
        <f t="shared" si="8"/>
        <v>11812.5</v>
      </c>
      <c r="S18" s="46">
        <f t="shared" si="9"/>
        <v>4.7249999999999996</v>
      </c>
      <c r="T18" s="47">
        <f t="shared" ca="1" si="10"/>
        <v>44553</v>
      </c>
      <c r="U18" s="51">
        <f t="shared" si="11"/>
        <v>0</v>
      </c>
    </row>
    <row r="19" spans="1:21" x14ac:dyDescent="0.25">
      <c r="A19" s="16" t="s">
        <v>65</v>
      </c>
      <c r="B19" s="16" t="s">
        <v>27</v>
      </c>
      <c r="C19" s="28">
        <v>44505</v>
      </c>
      <c r="D19" s="16">
        <v>44</v>
      </c>
      <c r="E19" s="29">
        <v>44</v>
      </c>
      <c r="F19" s="17">
        <v>0</v>
      </c>
      <c r="G19" s="16">
        <v>9</v>
      </c>
      <c r="H19" s="16">
        <v>64</v>
      </c>
      <c r="I19" s="16">
        <v>2310</v>
      </c>
      <c r="J19" s="12">
        <f t="shared" si="12"/>
        <v>2310</v>
      </c>
      <c r="K19" s="12">
        <f t="shared" si="1"/>
        <v>0</v>
      </c>
      <c r="L19" s="33">
        <f t="shared" si="3"/>
        <v>0</v>
      </c>
      <c r="M19" s="36" t="str">
        <f>IF(L19=1,R18-SUM(M$4:M18),"")</f>
        <v/>
      </c>
      <c r="O19" s="35">
        <f t="shared" si="2"/>
        <v>0</v>
      </c>
      <c r="P19"/>
      <c r="R19" s="42">
        <f t="shared" si="8"/>
        <v>14122.5</v>
      </c>
      <c r="S19" s="46">
        <f t="shared" si="9"/>
        <v>5.649</v>
      </c>
      <c r="T19" s="47">
        <f t="shared" ca="1" si="10"/>
        <v>44554</v>
      </c>
      <c r="U19" s="51">
        <f t="shared" si="11"/>
        <v>1</v>
      </c>
    </row>
    <row r="20" spans="1:21" x14ac:dyDescent="0.25">
      <c r="A20" s="16" t="s">
        <v>66</v>
      </c>
      <c r="B20" s="16" t="s">
        <v>30</v>
      </c>
      <c r="C20" s="28">
        <v>44505</v>
      </c>
      <c r="D20" s="16">
        <v>44</v>
      </c>
      <c r="E20" s="29">
        <v>44</v>
      </c>
      <c r="F20" s="17">
        <v>0</v>
      </c>
      <c r="G20" s="16">
        <v>62</v>
      </c>
      <c r="H20" s="16">
        <v>106</v>
      </c>
      <c r="I20" s="16">
        <v>7180</v>
      </c>
      <c r="J20" s="12">
        <f t="shared" si="12"/>
        <v>7180</v>
      </c>
      <c r="K20" s="12">
        <f t="shared" si="1"/>
        <v>0</v>
      </c>
      <c r="L20" s="33">
        <f t="shared" si="3"/>
        <v>0</v>
      </c>
      <c r="M20" s="36" t="str">
        <f>IF(L20=1,R19-SUM(M$4:M19),"")</f>
        <v/>
      </c>
      <c r="O20" s="35">
        <f t="shared" si="2"/>
        <v>0</v>
      </c>
      <c r="P20"/>
      <c r="R20" s="42">
        <f t="shared" si="8"/>
        <v>21302.5</v>
      </c>
      <c r="S20" s="46">
        <f t="shared" si="9"/>
        <v>8.5210000000000008</v>
      </c>
      <c r="T20" s="47">
        <f t="shared" ca="1" si="10"/>
        <v>44559</v>
      </c>
      <c r="U20" s="51">
        <f t="shared" si="11"/>
        <v>1</v>
      </c>
    </row>
    <row r="21" spans="1:21" x14ac:dyDescent="0.25">
      <c r="A21" s="16" t="s">
        <v>67</v>
      </c>
      <c r="B21" s="16" t="s">
        <v>31</v>
      </c>
      <c r="C21" s="28">
        <v>44505</v>
      </c>
      <c r="D21" s="16">
        <v>44</v>
      </c>
      <c r="E21" s="29">
        <v>44</v>
      </c>
      <c r="F21" s="17">
        <v>0</v>
      </c>
      <c r="G21" s="16">
        <v>13</v>
      </c>
      <c r="H21" s="16">
        <v>29</v>
      </c>
      <c r="I21" s="16">
        <v>1295</v>
      </c>
      <c r="J21" s="12">
        <f t="shared" si="12"/>
        <v>1295</v>
      </c>
      <c r="K21" s="12">
        <f t="shared" si="1"/>
        <v>0</v>
      </c>
      <c r="L21" s="33">
        <f t="shared" si="3"/>
        <v>0</v>
      </c>
      <c r="M21" s="36" t="str">
        <f>IF(L21=1,R20-SUM(M$4:M20),"")</f>
        <v/>
      </c>
      <c r="O21" s="35">
        <f t="shared" si="2"/>
        <v>0</v>
      </c>
      <c r="P21"/>
      <c r="R21" s="42">
        <f t="shared" si="8"/>
        <v>22597.5</v>
      </c>
      <c r="S21" s="46">
        <f t="shared" si="9"/>
        <v>9.0389999999999997</v>
      </c>
      <c r="T21" s="47">
        <f t="shared" ca="1" si="10"/>
        <v>44560</v>
      </c>
      <c r="U21" s="51">
        <f t="shared" si="11"/>
        <v>1</v>
      </c>
    </row>
    <row r="22" spans="1:21" x14ac:dyDescent="0.25">
      <c r="A22" s="16" t="s">
        <v>68</v>
      </c>
      <c r="B22" s="16" t="s">
        <v>46</v>
      </c>
      <c r="C22" s="28">
        <v>44505</v>
      </c>
      <c r="D22" s="16">
        <v>44</v>
      </c>
      <c r="E22" s="29">
        <v>44</v>
      </c>
      <c r="F22" s="17">
        <v>0</v>
      </c>
      <c r="G22" s="16">
        <v>1</v>
      </c>
      <c r="H22" s="16">
        <v>2</v>
      </c>
      <c r="I22" s="16">
        <v>90</v>
      </c>
      <c r="J22" s="12">
        <f t="shared" si="12"/>
        <v>90</v>
      </c>
      <c r="K22" s="12">
        <f t="shared" si="1"/>
        <v>0</v>
      </c>
      <c r="L22" s="33">
        <f t="shared" si="3"/>
        <v>0</v>
      </c>
      <c r="M22" s="36" t="str">
        <f>IF(L22=1,R21-SUM(M$4:M21),"")</f>
        <v/>
      </c>
      <c r="O22" s="35">
        <f t="shared" si="2"/>
        <v>0</v>
      </c>
      <c r="P22"/>
      <c r="R22" s="42">
        <f t="shared" si="8"/>
        <v>22687.5</v>
      </c>
      <c r="S22" s="46">
        <f t="shared" si="9"/>
        <v>9.0749999999999993</v>
      </c>
      <c r="T22" s="47">
        <f t="shared" ca="1" si="10"/>
        <v>44560</v>
      </c>
      <c r="U22" s="51">
        <f t="shared" si="11"/>
        <v>1</v>
      </c>
    </row>
    <row r="23" spans="1:21" x14ac:dyDescent="0.25">
      <c r="A23" s="16" t="s">
        <v>69</v>
      </c>
      <c r="B23" s="16" t="s">
        <v>49</v>
      </c>
      <c r="C23" s="28">
        <v>44505</v>
      </c>
      <c r="D23" s="16">
        <v>44</v>
      </c>
      <c r="E23" s="29">
        <v>44</v>
      </c>
      <c r="F23" s="17">
        <v>0</v>
      </c>
      <c r="G23" s="16">
        <v>1</v>
      </c>
      <c r="H23" s="16">
        <v>8</v>
      </c>
      <c r="I23" s="16">
        <v>160</v>
      </c>
      <c r="J23" s="12">
        <f t="shared" si="12"/>
        <v>160</v>
      </c>
      <c r="K23" s="12">
        <f t="shared" si="1"/>
        <v>0</v>
      </c>
      <c r="L23" s="33">
        <f t="shared" si="3"/>
        <v>0</v>
      </c>
      <c r="M23" s="36" t="str">
        <f>IF(L23=1,R22-SUM(M$4:M22),"")</f>
        <v/>
      </c>
      <c r="O23" s="35">
        <f t="shared" si="2"/>
        <v>0</v>
      </c>
      <c r="P23"/>
      <c r="R23" s="42">
        <f t="shared" si="8"/>
        <v>22847.5</v>
      </c>
      <c r="S23" s="46">
        <f t="shared" si="9"/>
        <v>9.1389999999999993</v>
      </c>
      <c r="T23" s="47">
        <f t="shared" ca="1" si="10"/>
        <v>44560</v>
      </c>
      <c r="U23" s="51">
        <f t="shared" si="11"/>
        <v>1</v>
      </c>
    </row>
    <row r="24" spans="1:21" x14ac:dyDescent="0.25">
      <c r="A24" s="16" t="s">
        <v>70</v>
      </c>
      <c r="B24" s="16" t="s">
        <v>32</v>
      </c>
      <c r="C24" s="28">
        <v>44512</v>
      </c>
      <c r="D24" s="16">
        <v>45</v>
      </c>
      <c r="E24" s="29">
        <v>45</v>
      </c>
      <c r="F24" s="17">
        <v>0</v>
      </c>
      <c r="G24" s="16">
        <v>8</v>
      </c>
      <c r="H24" s="16">
        <v>10</v>
      </c>
      <c r="I24" s="16">
        <v>1262</v>
      </c>
      <c r="J24" s="12">
        <f t="shared" si="12"/>
        <v>1262</v>
      </c>
      <c r="K24" s="12">
        <f t="shared" si="1"/>
        <v>0</v>
      </c>
      <c r="L24" s="33">
        <f t="shared" si="3"/>
        <v>1</v>
      </c>
      <c r="M24" s="36">
        <f>IF(L24=1,R23-SUM(M$4:M23),"")</f>
        <v>13996</v>
      </c>
      <c r="O24" s="35">
        <f t="shared" si="2"/>
        <v>0</v>
      </c>
      <c r="P24"/>
      <c r="R24" s="42">
        <f t="shared" si="8"/>
        <v>24109.5</v>
      </c>
      <c r="S24" s="46">
        <f t="shared" si="9"/>
        <v>9.6438000000000006</v>
      </c>
      <c r="T24" s="47">
        <f t="shared" ca="1" si="10"/>
        <v>44560</v>
      </c>
      <c r="U24" s="51">
        <f t="shared" si="11"/>
        <v>1</v>
      </c>
    </row>
    <row r="25" spans="1:21" x14ac:dyDescent="0.25">
      <c r="A25" s="16" t="s">
        <v>71</v>
      </c>
      <c r="B25" s="16" t="s">
        <v>33</v>
      </c>
      <c r="C25" s="28">
        <v>44512</v>
      </c>
      <c r="D25" s="16">
        <v>45</v>
      </c>
      <c r="E25" s="29">
        <v>45</v>
      </c>
      <c r="F25" s="17">
        <v>0</v>
      </c>
      <c r="G25" s="16">
        <v>120</v>
      </c>
      <c r="H25" s="16">
        <v>240</v>
      </c>
      <c r="I25" s="16">
        <v>13432</v>
      </c>
      <c r="J25" s="12">
        <f t="shared" si="12"/>
        <v>13432</v>
      </c>
      <c r="K25" s="12">
        <f t="shared" si="1"/>
        <v>0</v>
      </c>
      <c r="L25" s="33">
        <f t="shared" si="3"/>
        <v>0</v>
      </c>
      <c r="M25" s="36" t="str">
        <f>IF(L25=1,R24-SUM(M$4:M24),"")</f>
        <v/>
      </c>
      <c r="O25" s="35">
        <f t="shared" si="2"/>
        <v>0</v>
      </c>
      <c r="P25"/>
      <c r="R25" s="42">
        <f t="shared" si="8"/>
        <v>37541.5</v>
      </c>
      <c r="S25" s="46">
        <f t="shared" si="9"/>
        <v>15.0166</v>
      </c>
      <c r="T25" s="47">
        <f t="shared" ca="1" si="10"/>
        <v>44568</v>
      </c>
      <c r="U25" s="51">
        <f t="shared" si="11"/>
        <v>3</v>
      </c>
    </row>
    <row r="26" spans="1:21" x14ac:dyDescent="0.25">
      <c r="A26" s="16" t="s">
        <v>72</v>
      </c>
      <c r="B26" s="16" t="s">
        <v>34</v>
      </c>
      <c r="C26" s="28">
        <v>44512</v>
      </c>
      <c r="D26" s="16">
        <v>45</v>
      </c>
      <c r="E26" s="29">
        <v>45</v>
      </c>
      <c r="F26" s="17">
        <v>0</v>
      </c>
      <c r="G26" s="16">
        <v>87</v>
      </c>
      <c r="H26" s="16">
        <v>248</v>
      </c>
      <c r="I26" s="16">
        <v>7560</v>
      </c>
      <c r="J26" s="12">
        <f t="shared" si="12"/>
        <v>7560</v>
      </c>
      <c r="K26" s="12">
        <f t="shared" si="1"/>
        <v>0</v>
      </c>
      <c r="L26" s="33">
        <f t="shared" si="3"/>
        <v>0</v>
      </c>
      <c r="M26" s="36" t="str">
        <f>IF(L26=1,R25-SUM(M$4:M25),"")</f>
        <v/>
      </c>
      <c r="O26" s="35">
        <f t="shared" si="2"/>
        <v>0</v>
      </c>
      <c r="P26"/>
      <c r="R26" s="42">
        <f t="shared" si="8"/>
        <v>45101.5</v>
      </c>
      <c r="S26" s="46">
        <f t="shared" si="9"/>
        <v>18.040600000000001</v>
      </c>
      <c r="T26" s="47">
        <f t="shared" ca="1" si="10"/>
        <v>44573</v>
      </c>
      <c r="U26" s="51">
        <f t="shared" si="11"/>
        <v>3</v>
      </c>
    </row>
    <row r="27" spans="1:21" x14ac:dyDescent="0.25">
      <c r="A27" s="16" t="s">
        <v>73</v>
      </c>
      <c r="B27" s="16" t="s">
        <v>34</v>
      </c>
      <c r="C27" s="28">
        <v>44512</v>
      </c>
      <c r="D27" s="16">
        <v>45</v>
      </c>
      <c r="E27" s="29">
        <v>45</v>
      </c>
      <c r="F27" s="17">
        <v>0</v>
      </c>
      <c r="G27" s="16">
        <v>1</v>
      </c>
      <c r="H27" s="16">
        <v>128</v>
      </c>
      <c r="I27" s="16">
        <v>933</v>
      </c>
      <c r="J27" s="12">
        <f t="shared" si="12"/>
        <v>933</v>
      </c>
      <c r="K27" s="12">
        <f t="shared" si="1"/>
        <v>0</v>
      </c>
      <c r="L27" s="33">
        <f t="shared" si="3"/>
        <v>0</v>
      </c>
      <c r="M27" s="36" t="str">
        <f>IF(L27=1,R26-SUM(M$4:M26),"")</f>
        <v/>
      </c>
      <c r="O27" s="35">
        <f t="shared" si="2"/>
        <v>0</v>
      </c>
      <c r="P27"/>
      <c r="R27" s="42">
        <f t="shared" si="8"/>
        <v>46034.5</v>
      </c>
      <c r="S27" s="46">
        <f t="shared" si="9"/>
        <v>18.413799999999998</v>
      </c>
      <c r="T27" s="47">
        <f t="shared" ca="1" si="10"/>
        <v>44573</v>
      </c>
      <c r="U27" s="51">
        <f t="shared" si="11"/>
        <v>3</v>
      </c>
    </row>
    <row r="28" spans="1:21" x14ac:dyDescent="0.25">
      <c r="A28" s="16" t="s">
        <v>74</v>
      </c>
      <c r="B28" s="16" t="s">
        <v>38</v>
      </c>
      <c r="C28" s="28">
        <v>44512</v>
      </c>
      <c r="D28" s="16">
        <v>45</v>
      </c>
      <c r="E28" s="29">
        <v>45</v>
      </c>
      <c r="F28" s="17">
        <v>0</v>
      </c>
      <c r="G28" s="16">
        <v>3</v>
      </c>
      <c r="H28" s="16">
        <v>6</v>
      </c>
      <c r="I28" s="16">
        <v>335</v>
      </c>
      <c r="J28" s="12">
        <f t="shared" si="12"/>
        <v>335</v>
      </c>
      <c r="K28" s="12">
        <f t="shared" si="1"/>
        <v>0</v>
      </c>
      <c r="L28" s="33">
        <f t="shared" si="3"/>
        <v>0</v>
      </c>
      <c r="M28" s="36" t="str">
        <f>IF(L28=1,R27-SUM(M$4:M27),"")</f>
        <v/>
      </c>
      <c r="O28" s="35">
        <f t="shared" si="2"/>
        <v>0</v>
      </c>
      <c r="P28"/>
      <c r="R28" s="42">
        <f t="shared" si="8"/>
        <v>46369.5</v>
      </c>
      <c r="S28" s="46">
        <f t="shared" si="9"/>
        <v>18.547799999999999</v>
      </c>
      <c r="T28" s="47">
        <f t="shared" ca="1" si="10"/>
        <v>44573</v>
      </c>
      <c r="U28" s="51">
        <f t="shared" si="11"/>
        <v>3</v>
      </c>
    </row>
    <row r="29" spans="1:21" x14ac:dyDescent="0.25">
      <c r="A29" s="16" t="s">
        <v>75</v>
      </c>
      <c r="B29" s="16" t="s">
        <v>24</v>
      </c>
      <c r="C29" s="28">
        <v>44519</v>
      </c>
      <c r="D29" s="16">
        <v>46</v>
      </c>
      <c r="E29" s="29">
        <v>46</v>
      </c>
      <c r="F29" s="17">
        <v>0.1</v>
      </c>
      <c r="G29" s="16">
        <v>1</v>
      </c>
      <c r="H29" s="16">
        <v>1</v>
      </c>
      <c r="I29" s="16">
        <v>485</v>
      </c>
      <c r="J29" s="12">
        <f t="shared" si="12"/>
        <v>436.5</v>
      </c>
      <c r="K29" s="12">
        <f t="shared" si="1"/>
        <v>48.5</v>
      </c>
      <c r="L29" s="33">
        <f t="shared" si="3"/>
        <v>1</v>
      </c>
      <c r="M29" s="36">
        <f>IF(L29=1,R28-SUM(M$4:M28),"")</f>
        <v>23522</v>
      </c>
      <c r="O29" s="35">
        <f t="shared" si="2"/>
        <v>0.1</v>
      </c>
      <c r="P29"/>
      <c r="R29" s="42">
        <f t="shared" si="8"/>
        <v>46806</v>
      </c>
      <c r="S29" s="46">
        <f t="shared" si="9"/>
        <v>18.7224</v>
      </c>
      <c r="T29" s="47">
        <f t="shared" ca="1" si="10"/>
        <v>44573</v>
      </c>
      <c r="U29" s="51">
        <f t="shared" si="11"/>
        <v>3</v>
      </c>
    </row>
    <row r="30" spans="1:21" x14ac:dyDescent="0.25">
      <c r="A30" s="16" t="s">
        <v>76</v>
      </c>
      <c r="B30" s="16" t="s">
        <v>23</v>
      </c>
      <c r="C30" s="28">
        <v>44519</v>
      </c>
      <c r="D30" s="16">
        <v>46</v>
      </c>
      <c r="E30" s="29">
        <v>46</v>
      </c>
      <c r="F30" s="17">
        <v>0.1</v>
      </c>
      <c r="G30" s="16">
        <v>1</v>
      </c>
      <c r="H30" s="16">
        <v>1</v>
      </c>
      <c r="I30" s="16">
        <v>485</v>
      </c>
      <c r="J30" s="12">
        <f t="shared" si="12"/>
        <v>436.5</v>
      </c>
      <c r="K30" s="12">
        <f>F30*I30</f>
        <v>48.5</v>
      </c>
      <c r="L30" s="33">
        <f t="shared" si="3"/>
        <v>0</v>
      </c>
      <c r="M30" s="36" t="str">
        <f>IF(L30=1,R29-SUM(M$4:M29),"")</f>
        <v/>
      </c>
      <c r="O30" s="35">
        <f t="shared" si="2"/>
        <v>0.1</v>
      </c>
      <c r="P30"/>
      <c r="R30" s="42">
        <f t="shared" si="8"/>
        <v>47242.5</v>
      </c>
      <c r="S30" s="46">
        <f t="shared" si="9"/>
        <v>18.896999999999998</v>
      </c>
      <c r="T30" s="47">
        <f t="shared" ca="1" si="10"/>
        <v>44573</v>
      </c>
      <c r="U30" s="51">
        <f t="shared" si="11"/>
        <v>3</v>
      </c>
    </row>
    <row r="31" spans="1:21" x14ac:dyDescent="0.25">
      <c r="A31" s="16" t="s">
        <v>77</v>
      </c>
      <c r="B31" s="16" t="s">
        <v>29</v>
      </c>
      <c r="C31" s="28">
        <v>44519</v>
      </c>
      <c r="D31" s="16">
        <v>46</v>
      </c>
      <c r="E31" s="29">
        <v>46</v>
      </c>
      <c r="F31" s="17">
        <v>0</v>
      </c>
      <c r="G31" s="16">
        <v>16</v>
      </c>
      <c r="H31" s="16">
        <v>56</v>
      </c>
      <c r="I31" s="16">
        <v>3235</v>
      </c>
      <c r="J31" s="12">
        <f t="shared" si="12"/>
        <v>3235</v>
      </c>
      <c r="K31" s="12">
        <f t="shared" si="1"/>
        <v>0</v>
      </c>
      <c r="L31" s="33">
        <f t="shared" si="3"/>
        <v>0</v>
      </c>
      <c r="M31" s="36" t="str">
        <f>IF(L31=1,R30-SUM(M$4:M30),"")</f>
        <v/>
      </c>
      <c r="O31" s="35">
        <f t="shared" si="2"/>
        <v>0</v>
      </c>
      <c r="P31"/>
      <c r="R31" s="42">
        <f t="shared" si="8"/>
        <v>50477.5</v>
      </c>
      <c r="S31" s="46">
        <f t="shared" si="9"/>
        <v>20.190999999999999</v>
      </c>
      <c r="T31" s="47">
        <f t="shared" ca="1" si="10"/>
        <v>44575</v>
      </c>
      <c r="U31" s="51">
        <f t="shared" si="11"/>
        <v>4</v>
      </c>
    </row>
    <row r="32" spans="1:21" x14ac:dyDescent="0.25">
      <c r="A32" s="16" t="s">
        <v>78</v>
      </c>
      <c r="B32" s="16" t="s">
        <v>45</v>
      </c>
      <c r="C32" s="28">
        <v>44519</v>
      </c>
      <c r="D32" s="16">
        <v>46</v>
      </c>
      <c r="E32" s="29">
        <v>46</v>
      </c>
      <c r="F32" s="17">
        <v>0</v>
      </c>
      <c r="G32" s="16">
        <v>112</v>
      </c>
      <c r="H32" s="16">
        <v>361</v>
      </c>
      <c r="I32" s="16">
        <v>15790</v>
      </c>
      <c r="J32" s="12">
        <f t="shared" si="12"/>
        <v>15790</v>
      </c>
      <c r="K32" s="12">
        <f t="shared" si="1"/>
        <v>0</v>
      </c>
      <c r="L32" s="33">
        <f t="shared" si="3"/>
        <v>0</v>
      </c>
      <c r="M32" s="36" t="str">
        <f>IF(L32=1,R31-SUM(M$4:M31),"")</f>
        <v/>
      </c>
      <c r="O32" s="35">
        <f t="shared" si="2"/>
        <v>0</v>
      </c>
      <c r="P32"/>
      <c r="R32" s="42">
        <f t="shared" si="8"/>
        <v>66267.5</v>
      </c>
      <c r="S32" s="46">
        <f t="shared" si="9"/>
        <v>26.507000000000001</v>
      </c>
      <c r="T32" s="47">
        <f t="shared" ca="1" si="10"/>
        <v>44585</v>
      </c>
      <c r="U32" s="51">
        <f t="shared" si="11"/>
        <v>5</v>
      </c>
    </row>
    <row r="33" spans="1:21" x14ac:dyDescent="0.25">
      <c r="A33" s="16" t="s">
        <v>79</v>
      </c>
      <c r="B33" s="16" t="s">
        <v>50</v>
      </c>
      <c r="C33" s="28">
        <v>44519</v>
      </c>
      <c r="D33" s="16">
        <v>46</v>
      </c>
      <c r="E33" s="29">
        <v>46</v>
      </c>
      <c r="F33" s="17">
        <v>0</v>
      </c>
      <c r="G33" s="16">
        <v>1</v>
      </c>
      <c r="H33" s="16">
        <v>1</v>
      </c>
      <c r="I33" s="16">
        <v>450</v>
      </c>
      <c r="J33" s="12">
        <f t="shared" si="12"/>
        <v>450</v>
      </c>
      <c r="K33" s="12">
        <f t="shared" si="1"/>
        <v>0</v>
      </c>
      <c r="L33" s="33">
        <f t="shared" si="3"/>
        <v>0</v>
      </c>
      <c r="M33" s="36" t="str">
        <f>IF(L33=1,R32-SUM(M$4:M32),"")</f>
        <v/>
      </c>
      <c r="O33" s="35">
        <f t="shared" si="2"/>
        <v>0</v>
      </c>
      <c r="P33"/>
      <c r="R33" s="42">
        <f t="shared" si="8"/>
        <v>66717.5</v>
      </c>
      <c r="S33" s="46">
        <f t="shared" si="9"/>
        <v>26.687000000000001</v>
      </c>
      <c r="T33" s="47">
        <f t="shared" ca="1" si="10"/>
        <v>44585</v>
      </c>
      <c r="U33" s="51">
        <f t="shared" si="11"/>
        <v>5</v>
      </c>
    </row>
    <row r="34" spans="1:21" x14ac:dyDescent="0.25">
      <c r="A34" s="16" t="s">
        <v>80</v>
      </c>
      <c r="B34" s="16" t="s">
        <v>50</v>
      </c>
      <c r="C34" s="28">
        <v>44519</v>
      </c>
      <c r="D34" s="16">
        <v>46</v>
      </c>
      <c r="E34" s="29">
        <v>46</v>
      </c>
      <c r="F34" s="17">
        <v>0</v>
      </c>
      <c r="G34" s="16">
        <v>1</v>
      </c>
      <c r="H34" s="16">
        <v>1</v>
      </c>
      <c r="I34" s="16">
        <v>450</v>
      </c>
      <c r="J34" s="12">
        <f t="shared" si="12"/>
        <v>450</v>
      </c>
      <c r="K34" s="12">
        <f t="shared" si="1"/>
        <v>0</v>
      </c>
      <c r="L34" s="33">
        <f t="shared" si="3"/>
        <v>0</v>
      </c>
      <c r="M34" s="36" t="str">
        <f>IF(L34=1,R33-SUM(M$4:M33),"")</f>
        <v/>
      </c>
      <c r="O34" s="35">
        <f t="shared" si="2"/>
        <v>0</v>
      </c>
      <c r="P34"/>
      <c r="R34" s="42">
        <f t="shared" si="8"/>
        <v>67167.5</v>
      </c>
      <c r="S34" s="46">
        <f t="shared" si="9"/>
        <v>26.867000000000001</v>
      </c>
      <c r="T34" s="47">
        <f t="shared" ca="1" si="10"/>
        <v>44585</v>
      </c>
      <c r="U34" s="51">
        <f t="shared" si="11"/>
        <v>5</v>
      </c>
    </row>
    <row r="35" spans="1:21" x14ac:dyDescent="0.25">
      <c r="A35" s="16" t="s">
        <v>81</v>
      </c>
      <c r="B35" s="16" t="s">
        <v>35</v>
      </c>
      <c r="C35" s="28">
        <v>44526</v>
      </c>
      <c r="D35" s="16">
        <v>47</v>
      </c>
      <c r="E35" s="29">
        <v>47</v>
      </c>
      <c r="F35" s="17">
        <v>0</v>
      </c>
      <c r="G35" s="16">
        <v>42</v>
      </c>
      <c r="H35" s="16">
        <v>64</v>
      </c>
      <c r="I35" s="16">
        <v>3781</v>
      </c>
      <c r="J35" s="12">
        <f t="shared" si="12"/>
        <v>3781</v>
      </c>
      <c r="K35" s="12">
        <f t="shared" si="1"/>
        <v>0</v>
      </c>
      <c r="L35" s="33">
        <f t="shared" si="3"/>
        <v>1</v>
      </c>
      <c r="M35" s="36">
        <f>IF(L35=1,R34-SUM(M$4:M34),"")</f>
        <v>20798</v>
      </c>
      <c r="O35" s="35">
        <f t="shared" si="2"/>
        <v>0</v>
      </c>
      <c r="P35"/>
      <c r="R35" s="42">
        <f t="shared" si="8"/>
        <v>70948.5</v>
      </c>
      <c r="S35" s="46">
        <f t="shared" si="9"/>
        <v>28.3794</v>
      </c>
      <c r="T35" s="47">
        <f t="shared" ca="1" si="10"/>
        <v>44587</v>
      </c>
      <c r="U35" s="51">
        <f t="shared" si="11"/>
        <v>5</v>
      </c>
    </row>
    <row r="36" spans="1:21" x14ac:dyDescent="0.25">
      <c r="A36" s="16" t="s">
        <v>82</v>
      </c>
      <c r="B36" s="16" t="s">
        <v>26</v>
      </c>
      <c r="C36" s="28">
        <v>44533</v>
      </c>
      <c r="D36" s="16">
        <v>48</v>
      </c>
      <c r="E36" s="29">
        <v>48</v>
      </c>
      <c r="F36" s="17">
        <v>0</v>
      </c>
      <c r="G36" s="16">
        <v>9</v>
      </c>
      <c r="H36" s="16">
        <v>32</v>
      </c>
      <c r="I36" s="16">
        <v>1230</v>
      </c>
      <c r="J36" s="12">
        <f t="shared" si="12"/>
        <v>1230</v>
      </c>
      <c r="K36" s="12">
        <f t="shared" si="1"/>
        <v>0</v>
      </c>
      <c r="L36" s="33">
        <f t="shared" si="3"/>
        <v>1</v>
      </c>
      <c r="M36" s="36">
        <f>IF(L36=1,R35-SUM(M$4:M35),"")</f>
        <v>3781</v>
      </c>
      <c r="N36" s="48"/>
      <c r="O36" s="35">
        <f t="shared" si="2"/>
        <v>0</v>
      </c>
      <c r="P36"/>
      <c r="R36" s="42">
        <f t="shared" si="8"/>
        <v>72178.5</v>
      </c>
      <c r="S36" s="46">
        <f t="shared" si="9"/>
        <v>28.871400000000001</v>
      </c>
      <c r="T36" s="47">
        <f t="shared" ca="1" si="10"/>
        <v>44587</v>
      </c>
      <c r="U36" s="51">
        <f t="shared" si="11"/>
        <v>5</v>
      </c>
    </row>
    <row r="37" spans="1:21" x14ac:dyDescent="0.25">
      <c r="A37" s="16" t="s">
        <v>83</v>
      </c>
      <c r="B37" s="16" t="s">
        <v>36</v>
      </c>
      <c r="C37" s="28">
        <v>44533</v>
      </c>
      <c r="D37" s="16">
        <v>48</v>
      </c>
      <c r="E37" s="29">
        <v>48</v>
      </c>
      <c r="F37" s="17">
        <v>0</v>
      </c>
      <c r="G37" s="16">
        <v>5</v>
      </c>
      <c r="H37" s="16">
        <v>5</v>
      </c>
      <c r="I37" s="16">
        <v>425</v>
      </c>
      <c r="J37" s="12">
        <f t="shared" si="12"/>
        <v>425</v>
      </c>
      <c r="K37" s="12">
        <f t="shared" si="1"/>
        <v>0</v>
      </c>
      <c r="L37" s="33">
        <f t="shared" si="3"/>
        <v>0</v>
      </c>
      <c r="M37" s="36" t="str">
        <f>IF(L37=1,R36-SUM(M$4:M36),"")</f>
        <v/>
      </c>
      <c r="O37" s="35">
        <f t="shared" si="2"/>
        <v>0</v>
      </c>
      <c r="P37"/>
      <c r="R37" s="42">
        <f t="shared" si="8"/>
        <v>72603.5</v>
      </c>
      <c r="S37" s="46">
        <f t="shared" si="9"/>
        <v>29.041399999999999</v>
      </c>
      <c r="T37" s="47">
        <f t="shared" ca="1" si="10"/>
        <v>44588</v>
      </c>
      <c r="U37" s="51">
        <f t="shared" si="11"/>
        <v>5</v>
      </c>
    </row>
    <row r="38" spans="1:21" x14ac:dyDescent="0.25">
      <c r="A38" s="16" t="s">
        <v>84</v>
      </c>
      <c r="B38" s="16" t="s">
        <v>43</v>
      </c>
      <c r="C38" s="28">
        <v>44533</v>
      </c>
      <c r="D38" s="16">
        <v>48</v>
      </c>
      <c r="E38" s="29">
        <v>48</v>
      </c>
      <c r="F38" s="17">
        <v>0</v>
      </c>
      <c r="G38" s="16">
        <v>60</v>
      </c>
      <c r="H38" s="16">
        <v>196</v>
      </c>
      <c r="I38" s="16">
        <v>8927</v>
      </c>
      <c r="J38" s="12">
        <f t="shared" si="12"/>
        <v>8927</v>
      </c>
      <c r="K38" s="12">
        <f t="shared" si="1"/>
        <v>0</v>
      </c>
      <c r="L38" s="33">
        <f t="shared" si="3"/>
        <v>0</v>
      </c>
      <c r="M38" s="36" t="str">
        <f>IF(L38=1,R37-SUM(M$4:M37),"")</f>
        <v/>
      </c>
      <c r="O38" s="35">
        <f t="shared" si="2"/>
        <v>0</v>
      </c>
      <c r="P38"/>
      <c r="R38" s="42">
        <f t="shared" si="8"/>
        <v>81530.5</v>
      </c>
      <c r="S38" s="46">
        <f t="shared" si="9"/>
        <v>32.612200000000001</v>
      </c>
      <c r="T38" s="47">
        <f t="shared" ca="1" si="10"/>
        <v>44593</v>
      </c>
      <c r="U38" s="51">
        <f t="shared" si="11"/>
        <v>6</v>
      </c>
    </row>
    <row r="39" spans="1:21" x14ac:dyDescent="0.25">
      <c r="A39" s="16" t="s">
        <v>85</v>
      </c>
      <c r="B39" s="16" t="s">
        <v>39</v>
      </c>
      <c r="C39" s="28">
        <v>44540</v>
      </c>
      <c r="D39" s="16">
        <v>49</v>
      </c>
      <c r="E39" s="29">
        <v>49</v>
      </c>
      <c r="F39" s="17">
        <v>0</v>
      </c>
      <c r="G39" s="16">
        <v>60</v>
      </c>
      <c r="H39" s="16">
        <v>101</v>
      </c>
      <c r="I39" s="16">
        <v>6050</v>
      </c>
      <c r="J39" s="12">
        <f t="shared" si="12"/>
        <v>6050</v>
      </c>
      <c r="K39" s="12">
        <f t="shared" si="1"/>
        <v>0</v>
      </c>
      <c r="L39" s="33">
        <f t="shared" si="3"/>
        <v>1</v>
      </c>
      <c r="M39" s="36"/>
      <c r="O39" s="35">
        <f t="shared" si="2"/>
        <v>0</v>
      </c>
      <c r="P39"/>
      <c r="R39" s="42">
        <f t="shared" si="8"/>
        <v>87580.5</v>
      </c>
      <c r="S39" s="46">
        <f t="shared" si="9"/>
        <v>35.032200000000003</v>
      </c>
      <c r="T39" s="47">
        <f t="shared" ca="1" si="10"/>
        <v>44596</v>
      </c>
      <c r="U39" s="51">
        <f t="shared" si="11"/>
        <v>7</v>
      </c>
    </row>
    <row r="40" spans="1:21" x14ac:dyDescent="0.25">
      <c r="A40" s="16" t="s">
        <v>86</v>
      </c>
      <c r="B40" s="16" t="s">
        <v>41</v>
      </c>
      <c r="C40" s="28">
        <v>44540</v>
      </c>
      <c r="D40" s="16">
        <v>49</v>
      </c>
      <c r="E40" s="29">
        <v>49</v>
      </c>
      <c r="F40" s="17">
        <v>0</v>
      </c>
      <c r="G40" s="16">
        <v>86</v>
      </c>
      <c r="H40" s="16">
        <v>146</v>
      </c>
      <c r="I40" s="16">
        <v>10439</v>
      </c>
      <c r="J40" s="12">
        <f t="shared" si="12"/>
        <v>10439</v>
      </c>
      <c r="K40" s="12">
        <f t="shared" si="1"/>
        <v>0</v>
      </c>
      <c r="L40" s="33">
        <f>IF(E40=E39,0,1)</f>
        <v>0</v>
      </c>
      <c r="M40" s="36" t="str">
        <f>IF(L40=1,R39-SUM(M$4:M39),"")</f>
        <v/>
      </c>
      <c r="O40" s="35">
        <f t="shared" si="2"/>
        <v>0</v>
      </c>
      <c r="P40"/>
      <c r="R40" s="42">
        <f>J40++R39</f>
        <v>98019.5</v>
      </c>
      <c r="S40" s="46">
        <f t="shared" si="9"/>
        <v>39.207799999999999</v>
      </c>
      <c r="T40" s="47">
        <f t="shared" ca="1" si="10"/>
        <v>44602</v>
      </c>
      <c r="U40" s="51">
        <f t="shared" si="11"/>
        <v>7</v>
      </c>
    </row>
    <row r="41" spans="1:21" x14ac:dyDescent="0.25">
      <c r="A41" s="16" t="s">
        <v>87</v>
      </c>
      <c r="B41" s="16" t="s">
        <v>47</v>
      </c>
      <c r="C41" s="28">
        <v>44540</v>
      </c>
      <c r="D41" s="16">
        <v>49</v>
      </c>
      <c r="E41" s="29">
        <v>49</v>
      </c>
      <c r="F41" s="17">
        <v>0</v>
      </c>
      <c r="G41" s="16">
        <v>24</v>
      </c>
      <c r="H41" s="16">
        <v>97</v>
      </c>
      <c r="I41" s="16">
        <v>5768</v>
      </c>
      <c r="J41" s="12">
        <f t="shared" si="12"/>
        <v>5768</v>
      </c>
      <c r="K41" s="12">
        <f t="shared" si="1"/>
        <v>0</v>
      </c>
      <c r="L41" s="33">
        <f t="shared" si="3"/>
        <v>0</v>
      </c>
      <c r="M41" s="36" t="str">
        <f>IF(L41=1,R40-SUM(M$4:M40),"")</f>
        <v/>
      </c>
      <c r="O41" s="35">
        <f t="shared" si="2"/>
        <v>0</v>
      </c>
      <c r="P41"/>
      <c r="R41" s="42">
        <f t="shared" si="8"/>
        <v>103787.5</v>
      </c>
      <c r="S41" s="46">
        <f t="shared" si="9"/>
        <v>41.515000000000001</v>
      </c>
      <c r="T41" s="47">
        <f t="shared" ca="1" si="10"/>
        <v>44606</v>
      </c>
      <c r="U41" s="51">
        <f t="shared" si="11"/>
        <v>8</v>
      </c>
    </row>
    <row r="42" spans="1:21" x14ac:dyDescent="0.25">
      <c r="A42" s="16" t="s">
        <v>88</v>
      </c>
      <c r="B42" s="16" t="s">
        <v>48</v>
      </c>
      <c r="C42" s="28">
        <v>44540</v>
      </c>
      <c r="D42" s="16">
        <v>49</v>
      </c>
      <c r="E42" s="29">
        <v>49</v>
      </c>
      <c r="F42" s="17">
        <v>0</v>
      </c>
      <c r="G42" s="16">
        <v>2</v>
      </c>
      <c r="H42" s="16">
        <v>11</v>
      </c>
      <c r="I42" s="16">
        <v>220</v>
      </c>
      <c r="J42" s="12">
        <f t="shared" si="12"/>
        <v>220</v>
      </c>
      <c r="K42" s="12">
        <f t="shared" si="1"/>
        <v>0</v>
      </c>
      <c r="L42" s="33">
        <f t="shared" si="3"/>
        <v>0</v>
      </c>
      <c r="M42" s="36" t="str">
        <f>IF(L42=1,R41-SUM(M$4:M41),"")</f>
        <v/>
      </c>
      <c r="O42" s="35">
        <f t="shared" si="2"/>
        <v>0</v>
      </c>
      <c r="P42"/>
      <c r="R42" s="42">
        <f t="shared" si="8"/>
        <v>104007.5</v>
      </c>
      <c r="S42" s="46">
        <f t="shared" si="9"/>
        <v>41.603000000000002</v>
      </c>
      <c r="T42" s="47">
        <f t="shared" ca="1" si="10"/>
        <v>44606</v>
      </c>
      <c r="U42" s="51">
        <f t="shared" si="11"/>
        <v>8</v>
      </c>
    </row>
    <row r="43" spans="1:21" x14ac:dyDescent="0.25">
      <c r="A43" s="16" t="s">
        <v>89</v>
      </c>
      <c r="B43" s="16" t="s">
        <v>90</v>
      </c>
      <c r="C43" s="28">
        <v>44547</v>
      </c>
      <c r="D43" s="16">
        <v>50</v>
      </c>
      <c r="E43" s="29">
        <v>50</v>
      </c>
      <c r="F43" s="17">
        <v>0</v>
      </c>
      <c r="G43" s="16">
        <v>2</v>
      </c>
      <c r="H43" s="16">
        <v>2</v>
      </c>
      <c r="I43" s="16">
        <v>330</v>
      </c>
      <c r="J43" s="12">
        <f t="shared" si="12"/>
        <v>330</v>
      </c>
      <c r="K43" s="12">
        <f t="shared" si="1"/>
        <v>0</v>
      </c>
      <c r="L43" s="33"/>
      <c r="M43" s="36"/>
      <c r="O43" s="35">
        <f t="shared" si="2"/>
        <v>0</v>
      </c>
      <c r="P43"/>
      <c r="R43" s="42"/>
      <c r="S43" s="46"/>
      <c r="T43" s="47"/>
      <c r="U43" s="51"/>
    </row>
    <row r="44" spans="1:21" x14ac:dyDescent="0.25">
      <c r="A44" s="16"/>
      <c r="B44" s="16"/>
      <c r="C44" s="28"/>
      <c r="D44" s="16"/>
      <c r="E44" s="29"/>
      <c r="F44" s="17"/>
      <c r="G44" s="16"/>
      <c r="H44" s="16"/>
      <c r="I44" s="16"/>
      <c r="J44" s="12">
        <f t="shared" ref="J44:J51" si="13">I44-K44</f>
        <v>0</v>
      </c>
      <c r="K44" s="12">
        <f t="shared" si="1"/>
        <v>0</v>
      </c>
      <c r="L44" s="33"/>
      <c r="M44" s="36"/>
      <c r="O44" s="35">
        <f t="shared" si="2"/>
        <v>0</v>
      </c>
      <c r="P44"/>
      <c r="R44" s="42"/>
      <c r="S44" s="46"/>
      <c r="T44" s="47"/>
      <c r="U44" s="51"/>
    </row>
    <row r="45" spans="1:21" x14ac:dyDescent="0.25">
      <c r="A45" s="16"/>
      <c r="B45" s="16"/>
      <c r="C45" s="28"/>
      <c r="D45" s="16"/>
      <c r="E45" s="29"/>
      <c r="F45" s="17"/>
      <c r="G45" s="16"/>
      <c r="H45" s="16"/>
      <c r="I45" s="16"/>
      <c r="J45" s="12">
        <f t="shared" si="13"/>
        <v>0</v>
      </c>
      <c r="K45" s="12">
        <f t="shared" si="1"/>
        <v>0</v>
      </c>
      <c r="L45" s="33"/>
      <c r="M45" s="36"/>
      <c r="O45" s="35">
        <f t="shared" si="2"/>
        <v>0</v>
      </c>
      <c r="P45"/>
      <c r="R45" s="42"/>
      <c r="S45" s="46"/>
      <c r="T45" s="47"/>
      <c r="U45" s="51"/>
    </row>
    <row r="46" spans="1:21" x14ac:dyDescent="0.25">
      <c r="A46" s="16"/>
      <c r="B46" s="16"/>
      <c r="C46" s="28"/>
      <c r="D46" s="16"/>
      <c r="E46" s="29"/>
      <c r="F46" s="17"/>
      <c r="G46" s="16"/>
      <c r="H46" s="16"/>
      <c r="I46" s="16"/>
      <c r="J46" s="12">
        <f t="shared" si="13"/>
        <v>0</v>
      </c>
      <c r="K46" s="12">
        <f t="shared" si="1"/>
        <v>0</v>
      </c>
      <c r="L46" s="33"/>
      <c r="M46" s="36"/>
      <c r="O46" s="35">
        <f t="shared" si="2"/>
        <v>0</v>
      </c>
      <c r="P46"/>
      <c r="R46" s="42"/>
      <c r="S46" s="46"/>
      <c r="T46" s="47"/>
      <c r="U46" s="51"/>
    </row>
    <row r="47" spans="1:21" x14ac:dyDescent="0.25">
      <c r="A47" s="16"/>
      <c r="B47" s="16"/>
      <c r="C47" s="28"/>
      <c r="D47" s="16"/>
      <c r="E47" s="29"/>
      <c r="F47" s="17"/>
      <c r="G47" s="16"/>
      <c r="H47" s="16"/>
      <c r="I47" s="16"/>
      <c r="J47" s="12">
        <f t="shared" si="13"/>
        <v>0</v>
      </c>
      <c r="K47" s="12">
        <f t="shared" si="1"/>
        <v>0</v>
      </c>
      <c r="L47" s="33"/>
      <c r="M47" s="36"/>
      <c r="O47" s="35">
        <f t="shared" si="2"/>
        <v>0</v>
      </c>
      <c r="P47"/>
      <c r="R47" s="42"/>
      <c r="S47" s="46"/>
      <c r="T47" s="47"/>
      <c r="U47" s="51"/>
    </row>
    <row r="48" spans="1:21" x14ac:dyDescent="0.25">
      <c r="A48" s="16"/>
      <c r="B48" s="16"/>
      <c r="C48" s="28"/>
      <c r="D48" s="16"/>
      <c r="E48" s="29"/>
      <c r="F48" s="17"/>
      <c r="G48" s="16"/>
      <c r="H48" s="16"/>
      <c r="I48" s="16"/>
      <c r="J48" s="12">
        <f t="shared" si="13"/>
        <v>0</v>
      </c>
      <c r="K48" s="12">
        <f t="shared" si="1"/>
        <v>0</v>
      </c>
      <c r="L48" s="33"/>
      <c r="M48" s="36"/>
      <c r="O48" s="35">
        <f t="shared" si="2"/>
        <v>0</v>
      </c>
      <c r="P48"/>
      <c r="R48" s="42"/>
      <c r="S48" s="46"/>
      <c r="T48" s="47"/>
      <c r="U48" s="51"/>
    </row>
    <row r="49" spans="1:21" x14ac:dyDescent="0.25">
      <c r="A49" s="16"/>
      <c r="B49" s="16"/>
      <c r="C49" s="28"/>
      <c r="D49" s="16"/>
      <c r="E49" s="29"/>
      <c r="F49" s="17"/>
      <c r="G49" s="16"/>
      <c r="H49" s="16"/>
      <c r="I49" s="16"/>
      <c r="J49" s="12">
        <f t="shared" si="13"/>
        <v>0</v>
      </c>
      <c r="K49" s="12">
        <f t="shared" si="1"/>
        <v>0</v>
      </c>
      <c r="L49" s="33"/>
      <c r="M49" s="36"/>
      <c r="O49" s="35"/>
      <c r="P49"/>
      <c r="R49" s="42"/>
      <c r="S49" s="46"/>
      <c r="T49" s="47"/>
      <c r="U49" s="51"/>
    </row>
    <row r="50" spans="1:21" x14ac:dyDescent="0.25">
      <c r="A50" s="55"/>
      <c r="B50" s="55"/>
      <c r="C50" s="56"/>
      <c r="D50" s="55"/>
      <c r="E50" s="62"/>
      <c r="F50" s="63"/>
      <c r="G50" s="55"/>
      <c r="H50" s="55"/>
      <c r="I50" s="55"/>
      <c r="J50" s="64">
        <f t="shared" si="13"/>
        <v>0</v>
      </c>
      <c r="K50" s="64">
        <f t="shared" si="1"/>
        <v>0</v>
      </c>
      <c r="L50" s="33"/>
      <c r="M50" s="36"/>
      <c r="O50" s="35"/>
      <c r="P50"/>
      <c r="R50" s="42"/>
      <c r="S50" s="46"/>
      <c r="T50" s="47"/>
      <c r="U50" s="51"/>
    </row>
    <row r="51" spans="1:21" x14ac:dyDescent="0.25">
      <c r="A51" s="16"/>
      <c r="B51" s="16"/>
      <c r="C51" s="28"/>
      <c r="D51" s="16"/>
      <c r="E51" s="29"/>
      <c r="F51" s="17"/>
      <c r="G51" s="16"/>
      <c r="H51" s="16"/>
      <c r="I51" s="16"/>
      <c r="J51" s="12">
        <f t="shared" si="13"/>
        <v>0</v>
      </c>
      <c r="K51" s="12">
        <f t="shared" si="1"/>
        <v>0</v>
      </c>
      <c r="L51" s="33"/>
      <c r="M51" s="36"/>
      <c r="O51" s="35"/>
      <c r="P51"/>
      <c r="R51" s="42"/>
      <c r="S51" s="46"/>
      <c r="T51" s="47"/>
      <c r="U51" s="51"/>
    </row>
    <row r="52" spans="1:21" x14ac:dyDescent="0.25">
      <c r="A52" s="16"/>
      <c r="B52" s="16"/>
      <c r="C52" s="28"/>
      <c r="D52" s="16"/>
      <c r="E52" s="29"/>
      <c r="F52" s="17"/>
      <c r="G52" s="16"/>
      <c r="H52" s="16"/>
      <c r="I52" s="16"/>
      <c r="J52" s="12"/>
      <c r="K52" s="12"/>
      <c r="L52" s="33"/>
      <c r="M52" s="36"/>
      <c r="O52" s="35"/>
      <c r="P52"/>
      <c r="R52" s="42"/>
      <c r="S52" s="46"/>
      <c r="T52" s="47"/>
      <c r="U52" s="51"/>
    </row>
    <row r="53" spans="1:21" x14ac:dyDescent="0.25">
      <c r="A53" s="16"/>
      <c r="B53" s="16"/>
      <c r="C53" s="28"/>
      <c r="D53" s="16"/>
      <c r="E53" s="29"/>
      <c r="F53" s="17"/>
      <c r="G53" s="16"/>
      <c r="H53" s="16"/>
      <c r="I53" s="16"/>
      <c r="J53" s="12"/>
      <c r="K53" s="12"/>
      <c r="L53" s="33"/>
      <c r="M53" s="36"/>
      <c r="O53" s="35"/>
      <c r="P53"/>
      <c r="R53" s="42"/>
      <c r="S53" s="46"/>
      <c r="T53" s="47"/>
      <c r="U53" s="51"/>
    </row>
    <row r="54" spans="1:21" x14ac:dyDescent="0.25">
      <c r="A54" s="16"/>
      <c r="B54" s="16"/>
      <c r="C54" s="28"/>
      <c r="D54" s="16"/>
      <c r="E54" s="29"/>
      <c r="F54" s="17"/>
      <c r="G54" s="16"/>
      <c r="H54" s="16"/>
      <c r="I54" s="16"/>
      <c r="J54" s="12"/>
      <c r="K54" s="12"/>
      <c r="L54" s="33"/>
      <c r="M54" s="36"/>
      <c r="O54" s="35"/>
      <c r="P54"/>
      <c r="R54" s="42"/>
      <c r="S54" s="46"/>
      <c r="T54" s="47"/>
      <c r="U54" s="51"/>
    </row>
    <row r="55" spans="1:21" x14ac:dyDescent="0.25">
      <c r="A55" s="16"/>
      <c r="B55" s="16"/>
      <c r="C55" s="28"/>
      <c r="D55" s="16"/>
      <c r="E55" s="29"/>
      <c r="F55" s="17"/>
      <c r="G55" s="16"/>
      <c r="H55" s="16"/>
      <c r="I55" s="16"/>
      <c r="J55" s="12"/>
      <c r="K55" s="12"/>
      <c r="L55" s="33"/>
      <c r="M55" s="36"/>
      <c r="O55" s="35">
        <f t="shared" si="2"/>
        <v>0</v>
      </c>
      <c r="P55"/>
      <c r="R55" s="42"/>
      <c r="S55" s="46"/>
      <c r="T55" s="47"/>
      <c r="U55" s="51"/>
    </row>
    <row r="56" spans="1:21" ht="16.5" thickBot="1" x14ac:dyDescent="0.3">
      <c r="A56" s="52"/>
      <c r="B56" s="52"/>
      <c r="C56" s="53"/>
      <c r="D56" s="52"/>
      <c r="E56" s="59"/>
      <c r="F56" s="60"/>
      <c r="G56" s="52"/>
      <c r="H56" s="52"/>
      <c r="I56" s="52"/>
      <c r="J56" s="61"/>
      <c r="K56" s="61"/>
      <c r="L56" s="43"/>
      <c r="M56" s="43"/>
      <c r="O56" s="35">
        <f t="shared" si="2"/>
        <v>0</v>
      </c>
      <c r="P56"/>
      <c r="R56" s="42" t="e">
        <f>J56++#REF!</f>
        <v>#REF!</v>
      </c>
      <c r="S56" s="46" t="e">
        <f t="shared" si="9"/>
        <v>#REF!</v>
      </c>
      <c r="T56" s="47" t="e">
        <f t="shared" ca="1" si="10"/>
        <v>#REF!</v>
      </c>
      <c r="U56" s="51" t="e">
        <f t="shared" si="11"/>
        <v>#REF!</v>
      </c>
    </row>
    <row r="57" spans="1:21" ht="16.5" thickTop="1" x14ac:dyDescent="0.25">
      <c r="A57" s="55"/>
      <c r="B57" s="55"/>
      <c r="C57" s="56"/>
      <c r="D57" s="55"/>
      <c r="E57" s="62"/>
      <c r="F57" s="63"/>
      <c r="G57" s="55"/>
      <c r="H57" s="55"/>
      <c r="I57" s="55"/>
      <c r="J57" s="64"/>
      <c r="K57" s="64"/>
      <c r="L57" s="58"/>
      <c r="M57" s="58"/>
      <c r="O57" s="35"/>
      <c r="P57"/>
      <c r="R57" s="42"/>
      <c r="S57" s="46"/>
      <c r="T57" s="47"/>
      <c r="U57" s="51"/>
    </row>
    <row r="58" spans="1:21" x14ac:dyDescent="0.25">
      <c r="A58" s="55"/>
      <c r="B58" s="55"/>
      <c r="C58" s="56"/>
      <c r="D58" s="55"/>
      <c r="E58" s="62"/>
      <c r="F58" s="63"/>
      <c r="G58" s="55"/>
      <c r="H58" s="55"/>
      <c r="I58" s="55"/>
      <c r="J58" s="64"/>
      <c r="K58" s="64"/>
      <c r="L58" s="58"/>
      <c r="M58" s="58"/>
      <c r="O58" s="35"/>
      <c r="P58"/>
      <c r="R58" s="42"/>
      <c r="S58" s="46"/>
      <c r="T58" s="47"/>
      <c r="U58" s="51"/>
    </row>
    <row r="59" spans="1:21" x14ac:dyDescent="0.25">
      <c r="A59" s="55"/>
      <c r="B59" s="55"/>
      <c r="C59" s="56"/>
      <c r="D59" s="57"/>
      <c r="E59" s="57"/>
      <c r="F59" s="57"/>
      <c r="G59" s="55"/>
      <c r="H59" s="55"/>
      <c r="I59" s="55"/>
      <c r="J59" s="58"/>
      <c r="K59" s="58"/>
      <c r="L59" s="58"/>
      <c r="M59" s="58"/>
      <c r="O59" s="35"/>
      <c r="P59"/>
      <c r="R59" s="42"/>
      <c r="S59" s="46"/>
      <c r="T59" s="47"/>
      <c r="U59" s="51"/>
    </row>
    <row r="60" spans="1:21" x14ac:dyDescent="0.25">
      <c r="A60" s="18"/>
      <c r="B60" s="18"/>
      <c r="C60" s="19"/>
      <c r="D60" s="20"/>
      <c r="E60" s="20"/>
      <c r="F60" s="20"/>
      <c r="G60" s="44">
        <f>SUBTOTAL(9,G4:G56)</f>
        <v>1028</v>
      </c>
      <c r="H60" s="44">
        <f>SUBTOTAL(9,H4:H56)</f>
        <v>2453</v>
      </c>
      <c r="I60" s="45">
        <f>SUBTOTAL(9,I4:I56)</f>
        <v>124180</v>
      </c>
      <c r="J60" s="45">
        <f>SUBTOTAL(9,J4:J56)</f>
        <v>104337.5</v>
      </c>
      <c r="K60" s="34">
        <f>SUBTOTAL(9,K4:K56)</f>
        <v>19823.5</v>
      </c>
      <c r="L60" s="21"/>
      <c r="M60" s="41"/>
      <c r="O60"/>
      <c r="P60"/>
    </row>
    <row r="61" spans="1:21" ht="15" x14ac:dyDescent="0.25">
      <c r="A61" s="22"/>
      <c r="B61" s="25" t="s">
        <v>14</v>
      </c>
      <c r="K61"/>
      <c r="L61" s="35"/>
      <c r="M61"/>
      <c r="O61"/>
      <c r="P61"/>
    </row>
    <row r="62" spans="1:21" ht="15" x14ac:dyDescent="0.25">
      <c r="A62" s="18"/>
      <c r="B62" s="26" t="s">
        <v>15</v>
      </c>
      <c r="K62"/>
      <c r="L62" s="35"/>
      <c r="M62"/>
      <c r="O62"/>
      <c r="P62"/>
    </row>
    <row r="63" spans="1:21" ht="15" x14ac:dyDescent="0.25">
      <c r="A63" s="24"/>
      <c r="B63" s="26" t="s">
        <v>16</v>
      </c>
      <c r="K63"/>
      <c r="L63" s="35"/>
      <c r="M63"/>
      <c r="O63"/>
      <c r="P63"/>
    </row>
    <row r="64" spans="1:21" ht="15" x14ac:dyDescent="0.25">
      <c r="K64"/>
      <c r="L64" s="35"/>
      <c r="M64"/>
      <c r="O64"/>
      <c r="P64"/>
    </row>
    <row r="65" spans="11:18" ht="15" x14ac:dyDescent="0.25">
      <c r="K65"/>
      <c r="L65" s="35"/>
      <c r="M65"/>
      <c r="O65"/>
      <c r="P65"/>
    </row>
    <row r="66" spans="11:18" ht="15" x14ac:dyDescent="0.25">
      <c r="K66"/>
      <c r="L66" s="35"/>
      <c r="M66"/>
      <c r="O66"/>
      <c r="P66"/>
    </row>
    <row r="67" spans="11:18" ht="15" x14ac:dyDescent="0.25">
      <c r="K67"/>
      <c r="M67"/>
      <c r="O67"/>
      <c r="P67"/>
    </row>
    <row r="68" spans="11:18" ht="15" x14ac:dyDescent="0.25">
      <c r="K68"/>
      <c r="M68"/>
      <c r="O68"/>
      <c r="P68"/>
    </row>
    <row r="69" spans="11:18" ht="15" x14ac:dyDescent="0.25">
      <c r="K69"/>
      <c r="M69"/>
      <c r="O69"/>
      <c r="P69"/>
    </row>
    <row r="70" spans="11:18" x14ac:dyDescent="0.25">
      <c r="K70"/>
      <c r="M70"/>
      <c r="O70" s="42"/>
      <c r="P70"/>
      <c r="R70" s="51"/>
    </row>
    <row r="71" spans="11:18" x14ac:dyDescent="0.25">
      <c r="O71"/>
      <c r="P71"/>
    </row>
    <row r="72" spans="11:18" x14ac:dyDescent="0.25">
      <c r="L72" s="5"/>
      <c r="M72" s="36"/>
      <c r="O72"/>
      <c r="P72"/>
    </row>
    <row r="73" spans="11:18" x14ac:dyDescent="0.25">
      <c r="L73" s="5"/>
      <c r="M73" s="36"/>
      <c r="O73"/>
      <c r="P73"/>
    </row>
    <row r="74" spans="11:18" x14ac:dyDescent="0.25">
      <c r="L74" s="5"/>
      <c r="M74" s="36"/>
      <c r="O74"/>
      <c r="P74"/>
    </row>
    <row r="75" spans="11:18" x14ac:dyDescent="0.25">
      <c r="L75" s="5"/>
      <c r="M75" s="36"/>
      <c r="O75"/>
      <c r="P75"/>
    </row>
    <row r="76" spans="11:18" x14ac:dyDescent="0.25">
      <c r="L76" s="5"/>
      <c r="M76" s="36"/>
    </row>
  </sheetData>
  <autoFilter ref="A3:K62" xr:uid="{71244357-3F04-4942-B0D4-8EDD0797666F}">
    <sortState xmlns:xlrd2="http://schemas.microsoft.com/office/spreadsheetml/2017/richdata2" ref="A4:K63">
      <sortCondition ref="E3:E62"/>
    </sortState>
  </autoFilter>
  <mergeCells count="1">
    <mergeCell ref="A1:C1"/>
  </mergeCells>
  <conditionalFormatting sqref="L60:L66 O4:O59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{EE544E35-A905-43C9-98D6-E380CA5E3438}</x14:id>
        </ext>
      </extLst>
    </cfRule>
  </conditionalFormatting>
  <conditionalFormatting sqref="A4:M4 L5:M7 A5:K55 M6:M55 L8:L55">
    <cfRule type="expression" dxfId="7" priority="16">
      <formula>$L4=1</formula>
    </cfRule>
    <cfRule type="expression" dxfId="6" priority="19">
      <formula>$E4&gt;$D4</formula>
    </cfRule>
    <cfRule type="expression" dxfId="5" priority="23">
      <formula>$E4&lt;$D4</formula>
    </cfRule>
    <cfRule type="expression" dxfId="4" priority="26">
      <formula>$L4=1</formula>
    </cfRule>
  </conditionalFormatting>
  <conditionalFormatting sqref="A4:K55">
    <cfRule type="expression" dxfId="3" priority="25">
      <formula>$I4&lt;1</formula>
    </cfRule>
  </conditionalFormatting>
  <conditionalFormatting sqref="R4:R59">
    <cfRule type="cellIs" dxfId="2" priority="9" operator="lessThan">
      <formula>$R$1</formula>
    </cfRule>
  </conditionalFormatting>
  <conditionalFormatting sqref="T4:T59">
    <cfRule type="expression" dxfId="1" priority="8">
      <formula>AND($T4&gt;$C4,$J4&gt;0)</formula>
    </cfRule>
  </conditionalFormatting>
  <conditionalFormatting sqref="M4:M55">
    <cfRule type="expression" dxfId="0" priority="7">
      <formula>$M4&gt;$R$1</formula>
    </cfRule>
  </conditionalFormatting>
  <pageMargins left="0.25" right="0.25" top="0.75" bottom="0.75" header="0.3" footer="0.3"/>
  <pageSetup paperSize="8" scale="6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544E35-A905-43C9-98D6-E380CA5E343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L60:L66 O4:O59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Aufträge</vt:lpstr>
      <vt:lpstr>Aufträge!Druckbereich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Schindlbeck</dc:creator>
  <cp:lastModifiedBy>Larissa Dorn</cp:lastModifiedBy>
  <cp:lastPrinted>2021-10-15T13:18:56Z</cp:lastPrinted>
  <dcterms:created xsi:type="dcterms:W3CDTF">2021-03-11T12:43:56Z</dcterms:created>
  <dcterms:modified xsi:type="dcterms:W3CDTF">2021-12-14T15:00:02Z</dcterms:modified>
</cp:coreProperties>
</file>